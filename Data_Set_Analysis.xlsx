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AF91F91-0D6A-41C7-BD0C-695F7B057990}" xr6:coauthVersionLast="47" xr6:coauthVersionMax="47" xr10:uidLastSave="{00000000-0000-0000-0000-000000000000}"/>
  <bookViews>
    <workbookView xWindow="-108" yWindow="-108" windowWidth="23256" windowHeight="12456" xr2:uid="{991658AC-D9FF-4ABD-8E28-403CFBFA0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8" i="1" l="1"/>
</calcChain>
</file>

<file path=xl/sharedStrings.xml><?xml version="1.0" encoding="utf-8"?>
<sst xmlns="http://schemas.openxmlformats.org/spreadsheetml/2006/main" count="131" uniqueCount="71">
  <si>
    <t>TCS Historical Adjusted Close data formatted by Date, Month and price:</t>
  </si>
  <si>
    <t>Date</t>
  </si>
  <si>
    <t>Adj Close</t>
  </si>
  <si>
    <t>Year</t>
  </si>
  <si>
    <t>2021-2022</t>
  </si>
  <si>
    <t>2022-2023</t>
  </si>
  <si>
    <t>2023-2024</t>
  </si>
  <si>
    <t>2024-2025</t>
  </si>
  <si>
    <t>2025-2026</t>
  </si>
  <si>
    <t>Total Return</t>
  </si>
  <si>
    <r>
      <t>Opening Value (P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>)</t>
    </r>
  </si>
  <si>
    <t>Opening</t>
  </si>
  <si>
    <t xml:space="preserve">Closing </t>
  </si>
  <si>
    <t>Value--&gt; March,2022 -&gt;</t>
  </si>
  <si>
    <t>Value--&gt; April,2021  -&gt;</t>
  </si>
  <si>
    <r>
      <t>Closing Value (P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)</t>
    </r>
  </si>
  <si>
    <r>
      <t>P</t>
    </r>
    <r>
      <rPr>
        <b/>
        <vertAlign val="subscript"/>
        <sz val="12"/>
        <color theme="1"/>
        <rFont val="Times New Roman"/>
        <family val="1"/>
      </rPr>
      <t>1 -</t>
    </r>
    <r>
      <rPr>
        <b/>
        <sz val="12"/>
        <color theme="1"/>
        <rFont val="Times New Roman"/>
        <family val="1"/>
      </rPr>
      <t xml:space="preserve"> P</t>
    </r>
    <r>
      <rPr>
        <b/>
        <vertAlign val="subscript"/>
        <sz val="12"/>
        <color theme="1"/>
        <rFont val="Times New Roman"/>
        <family val="1"/>
      </rPr>
      <t>0</t>
    </r>
  </si>
  <si>
    <r>
      <t xml:space="preserve">Return </t>
    </r>
    <r>
      <rPr>
        <b/>
        <u/>
        <sz val="11"/>
        <color theme="1"/>
        <rFont val="Times New Roman"/>
        <family val="1"/>
      </rPr>
      <t>(P₁ - P₀)</t>
    </r>
    <r>
      <rPr>
        <b/>
        <sz val="11"/>
        <color theme="1"/>
        <rFont val="Times New Roman"/>
        <family val="1"/>
      </rPr>
      <t xml:space="preserve">  * 100</t>
    </r>
  </si>
  <si>
    <r>
      <t>P</t>
    </r>
    <r>
      <rPr>
        <b/>
        <vertAlign val="subscript"/>
        <sz val="11"/>
        <color theme="1"/>
        <rFont val="Times New Roman"/>
        <family val="1"/>
      </rPr>
      <t>0</t>
    </r>
  </si>
  <si>
    <t>ICICI Bank Historical Adjusted Close data formatted by Date, Month and price:</t>
  </si>
  <si>
    <r>
      <t>Opening Value (P</t>
    </r>
    <r>
      <rPr>
        <b/>
        <vertAlign val="subscript"/>
        <sz val="12"/>
        <rFont val="Times New Roman"/>
        <family val="1"/>
      </rPr>
      <t>0</t>
    </r>
    <r>
      <rPr>
        <b/>
        <sz val="12"/>
        <rFont val="Times New Roman"/>
        <family val="1"/>
      </rPr>
      <t>)</t>
    </r>
  </si>
  <si>
    <r>
      <t>Closing Value (P</t>
    </r>
    <r>
      <rPr>
        <b/>
        <vertAlign val="subscript"/>
        <sz val="12"/>
        <rFont val="Times New Roman"/>
        <family val="1"/>
      </rPr>
      <t>1</t>
    </r>
    <r>
      <rPr>
        <b/>
        <sz val="12"/>
        <rFont val="Times New Roman"/>
        <family val="1"/>
      </rPr>
      <t>)</t>
    </r>
  </si>
  <si>
    <r>
      <t>P</t>
    </r>
    <r>
      <rPr>
        <b/>
        <vertAlign val="subscript"/>
        <sz val="12"/>
        <rFont val="Times New Roman"/>
        <family val="1"/>
      </rPr>
      <t xml:space="preserve">1 </t>
    </r>
    <r>
      <rPr>
        <b/>
        <sz val="12"/>
        <rFont val="Times New Roman"/>
        <family val="1"/>
      </rPr>
      <t>– P</t>
    </r>
    <r>
      <rPr>
        <b/>
        <vertAlign val="subscript"/>
        <sz val="12"/>
        <rFont val="Times New Roman"/>
        <family val="1"/>
      </rPr>
      <t>0</t>
    </r>
  </si>
  <si>
    <r>
      <t xml:space="preserve">Return </t>
    </r>
    <r>
      <rPr>
        <b/>
        <u/>
        <sz val="11"/>
        <rFont val="Times New Roman"/>
        <family val="1"/>
      </rPr>
      <t>(P₁ - P₀)</t>
    </r>
    <r>
      <rPr>
        <b/>
        <sz val="11"/>
        <rFont val="Times New Roman"/>
        <family val="1"/>
      </rPr>
      <t xml:space="preserve">  *100</t>
    </r>
  </si>
  <si>
    <r>
      <t xml:space="preserve">                   P</t>
    </r>
    <r>
      <rPr>
        <b/>
        <vertAlign val="subscript"/>
        <sz val="11"/>
        <rFont val="Times New Roman"/>
        <family val="1"/>
      </rPr>
      <t>0</t>
    </r>
    <r>
      <rPr>
        <b/>
        <sz val="11"/>
        <rFont val="Times New Roman"/>
        <family val="1"/>
      </rPr>
      <t xml:space="preserve">      </t>
    </r>
  </si>
  <si>
    <t>RELIANCE Historical Adjusted Close data formatted by Date, Month and price:</t>
  </si>
  <si>
    <r>
      <t>P</t>
    </r>
    <r>
      <rPr>
        <b/>
        <vertAlign val="subscript"/>
        <sz val="12"/>
        <color theme="1"/>
        <rFont val="Times New Roman"/>
        <family val="1"/>
      </rPr>
      <t xml:space="preserve">1 </t>
    </r>
    <r>
      <rPr>
        <b/>
        <sz val="12"/>
        <color theme="1"/>
        <rFont val="Times New Roman"/>
        <family val="1"/>
      </rPr>
      <t>– P</t>
    </r>
    <r>
      <rPr>
        <b/>
        <vertAlign val="subscript"/>
        <sz val="12"/>
        <color theme="1"/>
        <rFont val="Times New Roman"/>
        <family val="1"/>
      </rPr>
      <t>0</t>
    </r>
  </si>
  <si>
    <r>
      <t xml:space="preserve">                   P</t>
    </r>
    <r>
      <rPr>
        <b/>
        <vertAlign val="subscript"/>
        <sz val="11"/>
        <color theme="1"/>
        <rFont val="Times New Roman"/>
        <family val="1"/>
      </rPr>
      <t xml:space="preserve">0 </t>
    </r>
    <r>
      <rPr>
        <b/>
        <sz val="11"/>
        <color theme="1"/>
        <rFont val="Times New Roman"/>
        <family val="1"/>
      </rPr>
      <t xml:space="preserve">            </t>
    </r>
  </si>
  <si>
    <t>NIFTY 50 (^NSEI)</t>
  </si>
  <si>
    <t>Nifty Close (April)</t>
  </si>
  <si>
    <r>
      <t xml:space="preserve">Return =  </t>
    </r>
    <r>
      <rPr>
        <u/>
        <sz val="12"/>
        <color theme="1"/>
        <rFont val="Times New Roman"/>
        <family val="1"/>
      </rPr>
      <t xml:space="preserve">Current Value – Previous Value  </t>
    </r>
    <r>
      <rPr>
        <sz val="12"/>
        <color theme="1"/>
        <rFont val="Times New Roman"/>
        <family val="1"/>
      </rPr>
      <t xml:space="preserve">   x  100</t>
    </r>
  </si>
  <si>
    <t xml:space="preserve">                               Previous Value</t>
  </si>
  <si>
    <r>
      <t xml:space="preserve">Return = </t>
    </r>
    <r>
      <rPr>
        <u/>
        <sz val="12"/>
        <color theme="1"/>
        <rFont val="Times New Roman"/>
        <family val="1"/>
      </rPr>
      <t>(P₁ − P₀)</t>
    </r>
    <r>
      <rPr>
        <sz val="12"/>
        <color theme="1"/>
        <rFont val="Times New Roman"/>
        <family val="1"/>
      </rPr>
      <t xml:space="preserve">  x100</t>
    </r>
  </si>
  <si>
    <t xml:space="preserve">                       P₀ </t>
  </si>
  <si>
    <t>2021–2022</t>
  </si>
  <si>
    <t>2022–2023</t>
  </si>
  <si>
    <t>2023–2024</t>
  </si>
  <si>
    <t>2024–2025</t>
  </si>
  <si>
    <t>2025–2026</t>
  </si>
  <si>
    <r>
      <t>Nifty Return (R</t>
    </r>
    <r>
      <rPr>
        <b/>
        <vertAlign val="subscript"/>
        <sz val="12"/>
        <rFont val="Times New Roman"/>
        <family val="1"/>
      </rPr>
      <t>m</t>
    </r>
    <r>
      <rPr>
        <b/>
        <sz val="12"/>
        <rFont val="Times New Roman"/>
        <family val="1"/>
      </rPr>
      <t>)</t>
    </r>
  </si>
  <si>
    <t>Particulars</t>
  </si>
  <si>
    <t>TCS</t>
  </si>
  <si>
    <t>ICICI</t>
  </si>
  <si>
    <t>RELIANCE</t>
  </si>
  <si>
    <t>Net Profit (PAT)</t>
  </si>
  <si>
    <t>Number of Equity Shares</t>
  </si>
  <si>
    <t>Shareholders' Equity</t>
  </si>
  <si>
    <t>Market Price per Share</t>
  </si>
  <si>
    <t>Current Assets</t>
  </si>
  <si>
    <t>Current Liabilities</t>
  </si>
  <si>
    <t>Total Debt</t>
  </si>
  <si>
    <t xml:space="preserve">FINANCIAL RATIO ANALYSIS PERFORMANCE 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</si>
  <si>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Earnings Per Share (EPS):</t>
    </r>
  </si>
  <si>
    <r>
      <t xml:space="preserve">                            EPS =  </t>
    </r>
    <r>
      <rPr>
        <b/>
        <u/>
        <sz val="11"/>
        <color theme="1"/>
        <rFont val="Times New Roman"/>
        <family val="1"/>
      </rPr>
      <t xml:space="preserve"> </t>
    </r>
    <r>
      <rPr>
        <b/>
        <u/>
        <sz val="12"/>
        <color theme="1"/>
        <rFont val="Times New Roman"/>
        <family val="1"/>
      </rPr>
      <t xml:space="preserve"> </t>
    </r>
    <r>
      <rPr>
        <u/>
        <sz val="12"/>
        <color theme="1"/>
        <rFont val="Times New Roman"/>
        <family val="1"/>
      </rPr>
      <t>Net profit – Preference Dividend</t>
    </r>
  </si>
  <si>
    <t xml:space="preserve">                                                Number of Equity Shares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</si>
  <si>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Return on Equity (ROE):</t>
    </r>
  </si>
  <si>
    <r>
      <t xml:space="preserve">                           ROE =   </t>
    </r>
    <r>
      <rPr>
        <u/>
        <sz val="11"/>
        <color theme="1"/>
        <rFont val="Times New Roman"/>
        <family val="1"/>
      </rPr>
      <t xml:space="preserve"> </t>
    </r>
    <r>
      <rPr>
        <u/>
        <sz val="12"/>
        <color theme="1"/>
        <rFont val="Times New Roman"/>
        <family val="1"/>
      </rPr>
      <t xml:space="preserve"> Net Income</t>
    </r>
    <r>
      <rPr>
        <sz val="12"/>
        <color theme="1"/>
        <rFont val="Times New Roman"/>
        <family val="1"/>
      </rPr>
      <t xml:space="preserve">                </t>
    </r>
    <r>
      <rPr>
        <u/>
        <sz val="12"/>
        <color theme="1"/>
        <rFont val="Times New Roman"/>
        <family val="1"/>
      </rPr>
      <t xml:space="preserve">        </t>
    </r>
  </si>
  <si>
    <t xml:space="preserve">                                     Shareholder’s Equity    x100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</si>
  <si>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Price Earnings Ratio (P/E Ratio):</t>
    </r>
  </si>
  <si>
    <t xml:space="preserve">                        </t>
  </si>
  <si>
    <r>
      <t xml:space="preserve">                           P/E Ratio =</t>
    </r>
    <r>
      <rPr>
        <u/>
        <sz val="12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 xml:space="preserve"> </t>
    </r>
    <r>
      <rPr>
        <u/>
        <sz val="12"/>
        <color theme="1"/>
        <rFont val="Times New Roman"/>
        <family val="1"/>
      </rPr>
      <t xml:space="preserve"> Market Price per Share</t>
    </r>
  </si>
  <si>
    <t xml:space="preserve">                                                                EPS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</si>
  <si>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Debt-Equity Ratio:</t>
    </r>
  </si>
  <si>
    <r>
      <t xml:space="preserve">                           Debt-Equity Ratio =    </t>
    </r>
    <r>
      <rPr>
        <u/>
        <sz val="12"/>
        <color theme="1"/>
        <rFont val="Times New Roman"/>
        <family val="1"/>
      </rPr>
      <t xml:space="preserve">Total Debt   </t>
    </r>
  </si>
  <si>
    <t xml:space="preserve">                                Shareholder’s Equity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</si>
  <si>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Current Ratio:</t>
    </r>
  </si>
  <si>
    <r>
      <t xml:space="preserve">               </t>
    </r>
    <r>
      <rPr>
        <sz val="12"/>
        <color theme="1"/>
        <rFont val="Times New Roman"/>
        <family val="1"/>
      </rPr>
      <t xml:space="preserve">Current Ratio   =    </t>
    </r>
    <r>
      <rPr>
        <u/>
        <sz val="12"/>
        <color theme="1"/>
        <rFont val="Times New Roman"/>
        <family val="1"/>
      </rPr>
      <t xml:space="preserve">Current Assets   </t>
    </r>
  </si>
  <si>
    <t xml:space="preserve">                 Current Liabilities </t>
  </si>
  <si>
    <r>
      <t>ü</t>
    </r>
    <r>
      <rPr>
        <sz val="7"/>
        <color theme="1"/>
        <rFont val="Times New Roman"/>
        <family val="1"/>
      </rPr>
      <t xml:space="preserve">  </t>
    </r>
    <r>
      <rPr>
        <b/>
        <sz val="12"/>
        <color theme="1"/>
        <rFont val="Times New Roman"/>
        <family val="1"/>
      </rPr>
      <t>Net Profit Margin:</t>
    </r>
  </si>
  <si>
    <r>
      <t xml:space="preserve">                    Net Profit Margin  =   </t>
    </r>
    <r>
      <rPr>
        <u/>
        <sz val="12"/>
        <color theme="1"/>
        <rFont val="Times New Roman"/>
        <family val="1"/>
      </rPr>
      <t xml:space="preserve">Net Profit </t>
    </r>
  </si>
  <si>
    <t xml:space="preserve">                              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</si>
</sst>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Arial"/>
      <family val="2"/>
    </font>
    <font>
      <b/>
      <sz val="11"/>
      <color theme="1"/>
      <name val="Times New Roman"/>
      <family val="1"/>
    </font>
    <font>
      <sz val="10"/>
      <color rgb="FF1F1F1F"/>
      <name val="Times New Roman"/>
      <family val="1"/>
    </font>
    <font>
      <sz val="12"/>
      <color rgb="FF1F1F1F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vertAlign val="subscript"/>
      <sz val="11"/>
      <name val="Times New Roman"/>
      <family val="1"/>
    </font>
    <font>
      <sz val="12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7" fontId="0" fillId="0" borderId="0" xfId="0" applyNumberFormat="1"/>
    <xf numFmtId="4" fontId="0" fillId="0" borderId="0" xfId="0" applyNumberFormat="1"/>
    <xf numFmtId="4" fontId="4" fillId="0" borderId="0" xfId="0" applyNumberFormat="1" applyFont="1" applyAlignment="1">
      <alignment vertical="center"/>
    </xf>
    <xf numFmtId="0" fontId="5" fillId="0" borderId="0" xfId="0" applyFont="1"/>
    <xf numFmtId="4" fontId="6" fillId="0" borderId="0" xfId="0" applyNumberFormat="1" applyFont="1"/>
    <xf numFmtId="17" fontId="8" fillId="0" borderId="0" xfId="0" applyNumberFormat="1" applyFont="1"/>
    <xf numFmtId="4" fontId="6" fillId="0" borderId="0" xfId="0" applyNumberFormat="1" applyFont="1" applyAlignment="1">
      <alignment vertical="center"/>
    </xf>
    <xf numFmtId="4" fontId="7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4" fontId="19" fillId="2" borderId="8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" fontId="19" fillId="2" borderId="0" xfId="0" applyNumberFormat="1" applyFont="1" applyFill="1" applyAlignment="1">
      <alignment horizontal="center" vertical="center" wrapText="1"/>
    </xf>
    <xf numFmtId="0" fontId="6" fillId="0" borderId="0" xfId="0" applyFont="1"/>
    <xf numFmtId="0" fontId="5" fillId="2" borderId="6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4" fontId="1" fillId="2" borderId="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6" fontId="1" fillId="0" borderId="8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6" fontId="1" fillId="0" borderId="4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11"/>
    </xf>
    <xf numFmtId="0" fontId="3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Sheet1!$E$3:$E$5</c:f>
              <c:strCache>
                <c:ptCount val="3"/>
                <c:pt idx="0">
                  <c:v>Opening Value (P0)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Sheet1!$D$6:$D$11</c:f>
              <c:strCache>
                <c:ptCount val="6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  <c:pt idx="5">
                  <c:v>Total Return</c:v>
                </c:pt>
              </c:strCache>
            </c:strRef>
          </c:cat>
          <c:val>
            <c:numRef>
              <c:f>Sheet1!$E$6:$E$11</c:f>
              <c:numCache>
                <c:formatCode>#,##0.00</c:formatCode>
                <c:ptCount val="6"/>
                <c:pt idx="0">
                  <c:v>2668.57</c:v>
                </c:pt>
                <c:pt idx="1">
                  <c:v>3151.46</c:v>
                </c:pt>
                <c:pt idx="2">
                  <c:v>2960.65</c:v>
                </c:pt>
                <c:pt idx="3">
                  <c:v>3583.05</c:v>
                </c:pt>
                <c:pt idx="4">
                  <c:v>3338.33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5-4689-951D-F260A9E99D55}"/>
            </c:ext>
          </c:extLst>
        </c:ser>
        <c:ser>
          <c:idx val="1"/>
          <c:order val="1"/>
          <c:tx>
            <c:strRef>
              <c:f>Sheet1!$F$3:$F$5</c:f>
              <c:strCache>
                <c:ptCount val="3"/>
                <c:pt idx="0">
                  <c:v>Closing Value (P1)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Sheet1!$D$6:$D$11</c:f>
              <c:strCache>
                <c:ptCount val="6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  <c:pt idx="5">
                  <c:v>Total Return</c:v>
                </c:pt>
              </c:strCache>
            </c:strRef>
          </c:cat>
          <c:val>
            <c:numRef>
              <c:f>Sheet1!$F$6:$F$11</c:f>
              <c:numCache>
                <c:formatCode>#,##0.00</c:formatCode>
                <c:ptCount val="6"/>
                <c:pt idx="0">
                  <c:v>3323.18</c:v>
                </c:pt>
                <c:pt idx="1">
                  <c:v>2948.37</c:v>
                </c:pt>
                <c:pt idx="2">
                  <c:v>3635.24</c:v>
                </c:pt>
                <c:pt idx="3">
                  <c:v>3485.69</c:v>
                </c:pt>
                <c:pt idx="4">
                  <c:v>2358.9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5-4689-951D-F260A9E99D55}"/>
            </c:ext>
          </c:extLst>
        </c:ser>
        <c:ser>
          <c:idx val="2"/>
          <c:order val="2"/>
          <c:tx>
            <c:strRef>
              <c:f>Sheet1!$G$3:$G$5</c:f>
              <c:strCache>
                <c:ptCount val="3"/>
                <c:pt idx="0">
                  <c:v>P1 - P0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Sheet1!$D$6:$D$11</c:f>
              <c:strCache>
                <c:ptCount val="6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  <c:pt idx="5">
                  <c:v>Total Return</c:v>
                </c:pt>
              </c:strCache>
            </c:strRef>
          </c:cat>
          <c:val>
            <c:numRef>
              <c:f>Sheet1!$G$6:$G$11</c:f>
              <c:numCache>
                <c:formatCode>General</c:formatCode>
                <c:ptCount val="6"/>
                <c:pt idx="0">
                  <c:v>654.61</c:v>
                </c:pt>
                <c:pt idx="1">
                  <c:v>-203.09</c:v>
                </c:pt>
                <c:pt idx="2">
                  <c:v>674.59</c:v>
                </c:pt>
                <c:pt idx="3">
                  <c:v>-97.36</c:v>
                </c:pt>
                <c:pt idx="4">
                  <c:v>-979.43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5-4689-951D-F260A9E99D55}"/>
            </c:ext>
          </c:extLst>
        </c:ser>
        <c:ser>
          <c:idx val="3"/>
          <c:order val="3"/>
          <c:tx>
            <c:strRef>
              <c:f>Sheet1!$H$3:$H$5</c:f>
              <c:strCache>
                <c:ptCount val="3"/>
                <c:pt idx="0">
                  <c:v>P1 - P0</c:v>
                </c:pt>
                <c:pt idx="1">
                  <c:v>Return (P₁ - P₀)  * 100</c:v>
                </c:pt>
                <c:pt idx="2">
                  <c:v>P0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Sheet1!$D$6:$D$11</c:f>
              <c:strCache>
                <c:ptCount val="6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  <c:pt idx="5">
                  <c:v>Total Return</c:v>
                </c:pt>
              </c:strCache>
            </c:strRef>
          </c:cat>
          <c:val>
            <c:numRef>
              <c:f>Sheet1!$H$6:$H$11</c:f>
              <c:numCache>
                <c:formatCode>General</c:formatCode>
                <c:ptCount val="6"/>
                <c:pt idx="0">
                  <c:v>24.53</c:v>
                </c:pt>
                <c:pt idx="1">
                  <c:v>-6.44</c:v>
                </c:pt>
                <c:pt idx="2">
                  <c:v>22.79</c:v>
                </c:pt>
                <c:pt idx="3">
                  <c:v>-2.72</c:v>
                </c:pt>
                <c:pt idx="4">
                  <c:v>-29.34</c:v>
                </c:pt>
                <c:pt idx="5">
                  <c:v>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C5-4689-951D-F260A9E99D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5082720"/>
        <c:axId val="605081056"/>
      </c:lineChart>
      <c:catAx>
        <c:axId val="6050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81056"/>
        <c:crosses val="autoZero"/>
        <c:auto val="1"/>
        <c:lblAlgn val="ctr"/>
        <c:lblOffset val="100"/>
        <c:noMultiLvlLbl val="0"/>
      </c:catAx>
      <c:valAx>
        <c:axId val="6050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8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Sheet1!$E$68:$E$69</c:f>
              <c:strCache>
                <c:ptCount val="2"/>
                <c:pt idx="0">
                  <c:v>Opening Value (P0)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Sheet1!$D$70:$D$74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Sheet1!$E$70:$E$74</c:f>
              <c:numCache>
                <c:formatCode>#,##0.00</c:formatCode>
                <c:ptCount val="5"/>
                <c:pt idx="0" formatCode="General">
                  <c:v>904.37</c:v>
                </c:pt>
                <c:pt idx="1">
                  <c:v>1269.5999999999999</c:v>
                </c:pt>
                <c:pt idx="2">
                  <c:v>1104.95</c:v>
                </c:pt>
                <c:pt idx="3">
                  <c:v>1456.22</c:v>
                </c:pt>
                <c:pt idx="4">
                  <c:v>1399.41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9-440A-A7AA-7524A8BCC367}"/>
            </c:ext>
          </c:extLst>
        </c:ser>
        <c:ser>
          <c:idx val="1"/>
          <c:order val="1"/>
          <c:tx>
            <c:strRef>
              <c:f>Sheet1!$F$68:$F$69</c:f>
              <c:strCache>
                <c:ptCount val="2"/>
                <c:pt idx="0">
                  <c:v>Closing Value (P1)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Sheet1!$D$70:$D$74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Sheet1!$F$70:$F$74</c:f>
              <c:numCache>
                <c:formatCode>#,##0.00</c:formatCode>
                <c:ptCount val="5"/>
                <c:pt idx="0">
                  <c:v>1198.8399999999999</c:v>
                </c:pt>
                <c:pt idx="1">
                  <c:v>1064.1199999999999</c:v>
                </c:pt>
                <c:pt idx="2">
                  <c:v>1474.93</c:v>
                </c:pt>
                <c:pt idx="3">
                  <c:v>1270.03</c:v>
                </c:pt>
                <c:pt idx="4">
                  <c:v>1343.9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9-440A-A7AA-7524A8BCC367}"/>
            </c:ext>
          </c:extLst>
        </c:ser>
        <c:ser>
          <c:idx val="2"/>
          <c:order val="2"/>
          <c:tx>
            <c:strRef>
              <c:f>Sheet1!$G$68:$G$69</c:f>
              <c:strCache>
                <c:ptCount val="2"/>
                <c:pt idx="0">
                  <c:v>P1 – P0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Sheet1!$D$70:$D$74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Sheet1!$G$70:$G$74</c:f>
              <c:numCache>
                <c:formatCode>General</c:formatCode>
                <c:ptCount val="5"/>
                <c:pt idx="0">
                  <c:v>294.47000000000003</c:v>
                </c:pt>
                <c:pt idx="1">
                  <c:v>-205.48</c:v>
                </c:pt>
                <c:pt idx="2">
                  <c:v>369.98</c:v>
                </c:pt>
                <c:pt idx="3">
                  <c:v>-186.19</c:v>
                </c:pt>
                <c:pt idx="4">
                  <c:v>-55.51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9-440A-A7AA-7524A8BCC367}"/>
            </c:ext>
          </c:extLst>
        </c:ser>
        <c:ser>
          <c:idx val="3"/>
          <c:order val="3"/>
          <c:tx>
            <c:strRef>
              <c:f>Sheet1!$H$68:$H$69</c:f>
              <c:strCache>
                <c:ptCount val="2"/>
                <c:pt idx="0">
                  <c:v>Return (P₁ - P₀)  * 100</c:v>
                </c:pt>
                <c:pt idx="1">
                  <c:v>                   P0            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Sheet1!$D$70:$D$74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Sheet1!$H$70:$H$74</c:f>
              <c:numCache>
                <c:formatCode>General</c:formatCode>
                <c:ptCount val="5"/>
                <c:pt idx="0">
                  <c:v>32.56</c:v>
                </c:pt>
                <c:pt idx="1">
                  <c:v>-16.18</c:v>
                </c:pt>
                <c:pt idx="2">
                  <c:v>33.479999999999997</c:v>
                </c:pt>
                <c:pt idx="3">
                  <c:v>-12.79</c:v>
                </c:pt>
                <c:pt idx="4">
                  <c:v>-3.97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89-440A-A7AA-7524A8BCC3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1037360"/>
        <c:axId val="1361023216"/>
      </c:lineChart>
      <c:catAx>
        <c:axId val="13610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23216"/>
        <c:crosses val="autoZero"/>
        <c:auto val="1"/>
        <c:lblAlgn val="ctr"/>
        <c:lblOffset val="100"/>
        <c:noMultiLvlLbl val="0"/>
      </c:catAx>
      <c:valAx>
        <c:axId val="13610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Sheet1!$P$4:$P$5</c:f>
              <c:strCache>
                <c:ptCount val="2"/>
                <c:pt idx="0">
                  <c:v>Opening Value (P0)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Sheet1!$O$6:$O$10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Sheet1!$P$6:$P$10</c:f>
              <c:numCache>
                <c:formatCode>General</c:formatCode>
                <c:ptCount val="5"/>
                <c:pt idx="0">
                  <c:v>580.79999999999995</c:v>
                </c:pt>
                <c:pt idx="1">
                  <c:v>721.02</c:v>
                </c:pt>
                <c:pt idx="2">
                  <c:v>895.48</c:v>
                </c:pt>
                <c:pt idx="3" formatCode="#,##0.00">
                  <c:v>1131.8499999999999</c:v>
                </c:pt>
                <c:pt idx="4" formatCode="#,##0.00">
                  <c:v>1416.07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3-4E97-ADED-B289049D6764}"/>
            </c:ext>
          </c:extLst>
        </c:ser>
        <c:ser>
          <c:idx val="1"/>
          <c:order val="1"/>
          <c:tx>
            <c:strRef>
              <c:f>Sheet1!$Q$4:$Q$5</c:f>
              <c:strCache>
                <c:ptCount val="2"/>
                <c:pt idx="0">
                  <c:v>Closing Value (P1)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Sheet1!$O$6:$O$10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Sheet1!$Q$6:$Q$10</c:f>
              <c:numCache>
                <c:formatCode>General</c:formatCode>
                <c:ptCount val="5"/>
                <c:pt idx="0">
                  <c:v>708.41</c:v>
                </c:pt>
                <c:pt idx="1">
                  <c:v>856.06</c:v>
                </c:pt>
                <c:pt idx="2" formatCode="#,##0.00">
                  <c:v>1075.67</c:v>
                </c:pt>
                <c:pt idx="3" formatCode="#,##0.00">
                  <c:v>1338.03</c:v>
                </c:pt>
                <c:pt idx="4" formatCode="#,##0.00">
                  <c:v>1205.9000000000001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3-4E97-ADED-B289049D6764}"/>
            </c:ext>
          </c:extLst>
        </c:ser>
        <c:ser>
          <c:idx val="2"/>
          <c:order val="2"/>
          <c:tx>
            <c:strRef>
              <c:f>Sheet1!$R$4:$R$5</c:f>
              <c:strCache>
                <c:ptCount val="2"/>
                <c:pt idx="0">
                  <c:v>P1 – P0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Sheet1!$O$6:$O$10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Sheet1!$R$6:$R$10</c:f>
              <c:numCache>
                <c:formatCode>General</c:formatCode>
                <c:ptCount val="5"/>
                <c:pt idx="0">
                  <c:v>127.61</c:v>
                </c:pt>
                <c:pt idx="1">
                  <c:v>135.04</c:v>
                </c:pt>
                <c:pt idx="2">
                  <c:v>180.19</c:v>
                </c:pt>
                <c:pt idx="3">
                  <c:v>206.18</c:v>
                </c:pt>
                <c:pt idx="4">
                  <c:v>-210.17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3-4E97-ADED-B289049D6764}"/>
            </c:ext>
          </c:extLst>
        </c:ser>
        <c:ser>
          <c:idx val="3"/>
          <c:order val="3"/>
          <c:tx>
            <c:strRef>
              <c:f>Sheet1!$S$4:$S$5</c:f>
              <c:strCache>
                <c:ptCount val="2"/>
                <c:pt idx="0">
                  <c:v>Return (P₁ - P₀)  *100</c:v>
                </c:pt>
                <c:pt idx="1">
                  <c:v>                   P0     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Sheet1!$O$6:$O$10</c:f>
              <c:strCache>
                <c:ptCount val="5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  <c:pt idx="3">
                  <c:v>2024-2025</c:v>
                </c:pt>
                <c:pt idx="4">
                  <c:v>2025-2026</c:v>
                </c:pt>
              </c:strCache>
            </c:strRef>
          </c:cat>
          <c:val>
            <c:numRef>
              <c:f>Sheet1!$S$6:$S$10</c:f>
              <c:numCache>
                <c:formatCode>General</c:formatCode>
                <c:ptCount val="5"/>
                <c:pt idx="0">
                  <c:v>21.97</c:v>
                </c:pt>
                <c:pt idx="1">
                  <c:v>18.73</c:v>
                </c:pt>
                <c:pt idx="2">
                  <c:v>20.12</c:v>
                </c:pt>
                <c:pt idx="3">
                  <c:v>18.22</c:v>
                </c:pt>
                <c:pt idx="4">
                  <c:v>-14.84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13-4E97-ADED-B289049D67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5906992"/>
        <c:axId val="505905328"/>
      </c:lineChart>
      <c:catAx>
        <c:axId val="5059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05328"/>
        <c:crosses val="autoZero"/>
        <c:auto val="1"/>
        <c:lblAlgn val="ctr"/>
        <c:lblOffset val="100"/>
        <c:noMultiLvlLbl val="0"/>
      </c:catAx>
      <c:valAx>
        <c:axId val="5059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16</xdr:row>
      <xdr:rowOff>167640</xdr:rowOff>
    </xdr:from>
    <xdr:to>
      <xdr:col>7</xdr:col>
      <xdr:colOff>1352550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3B6D0-84CA-4E14-BEE6-84F9C0D9C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478971</xdr:colOff>
      <xdr:row>82</xdr:row>
      <xdr:rowOff>59871</xdr:rowOff>
    </xdr:from>
    <xdr:to>
      <xdr:col>7</xdr:col>
      <xdr:colOff>1828800</xdr:colOff>
      <xdr:row>102</xdr:row>
      <xdr:rowOff>54429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8A8378-0088-4F1A-810F-C929BEE04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1132115</xdr:colOff>
      <xdr:row>20</xdr:row>
      <xdr:rowOff>27213</xdr:rowOff>
    </xdr:from>
    <xdr:to>
      <xdr:col>20</xdr:col>
      <xdr:colOff>228600</xdr:colOff>
      <xdr:row>42</xdr:row>
      <xdr:rowOff>174170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C00BD8-6346-4E47-ACB8-0C443E89B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1D2-D381-40C9-B799-B2A7A9D191E9}">
  <dimension ref="A1:S250"/>
  <sheetViews>
    <sheetView tabSelected="1" zoomScale="70" zoomScaleNormal="70" workbookViewId="0">
      <selection activeCell="F172" sqref="F172"/>
    </sheetView>
  </sheetViews>
  <sheetFormatPr defaultRowHeight="14.4" x14ac:dyDescent="0.3"/>
  <cols>
    <col min="2" max="2" width="11.109375" bestFit="1" customWidth="1"/>
    <col min="4" max="4" width="22.21875" customWidth="1"/>
    <col min="5" max="5" width="21" customWidth="1"/>
    <col min="6" max="6" width="20" customWidth="1"/>
    <col min="7" max="7" width="12.77734375" customWidth="1"/>
    <col min="8" max="8" width="22.21875" customWidth="1"/>
    <col min="9" max="9" width="14.44140625" customWidth="1"/>
    <col min="15" max="15" width="17.6640625" customWidth="1"/>
    <col min="16" max="16" width="21.44140625" customWidth="1"/>
    <col min="17" max="17" width="19.5546875" customWidth="1"/>
    <col min="18" max="18" width="11" customWidth="1"/>
    <col min="19" max="19" width="21.21875" customWidth="1"/>
  </cols>
  <sheetData>
    <row r="1" spans="1:19" ht="17.399999999999999" x14ac:dyDescent="0.3">
      <c r="A1" s="1" t="s">
        <v>0</v>
      </c>
      <c r="L1" s="1" t="s">
        <v>19</v>
      </c>
    </row>
    <row r="2" spans="1:19" ht="16.2" thickBot="1" x14ac:dyDescent="0.35">
      <c r="A2" s="2" t="s">
        <v>1</v>
      </c>
      <c r="B2" s="6" t="s">
        <v>2</v>
      </c>
      <c r="L2" s="2" t="s">
        <v>1</v>
      </c>
      <c r="M2" s="6" t="s">
        <v>2</v>
      </c>
    </row>
    <row r="3" spans="1:19" ht="14.4" customHeight="1" thickBot="1" x14ac:dyDescent="0.35">
      <c r="A3" s="8">
        <v>46082</v>
      </c>
      <c r="B3" s="7">
        <v>2358.9</v>
      </c>
      <c r="D3" s="58" t="s">
        <v>3</v>
      </c>
      <c r="E3" s="58" t="s">
        <v>10</v>
      </c>
      <c r="F3" s="58" t="s">
        <v>15</v>
      </c>
      <c r="G3" s="58" t="s">
        <v>16</v>
      </c>
      <c r="H3" s="14"/>
      <c r="L3" s="8">
        <v>46082</v>
      </c>
      <c r="M3" s="9">
        <v>1205.9000000000001</v>
      </c>
    </row>
    <row r="4" spans="1:19" ht="14.4" customHeight="1" x14ac:dyDescent="0.3">
      <c r="A4" s="8">
        <v>46054</v>
      </c>
      <c r="B4" s="7">
        <v>2637.4</v>
      </c>
      <c r="D4" s="59"/>
      <c r="E4" s="59"/>
      <c r="F4" s="59"/>
      <c r="G4" s="59"/>
      <c r="H4" s="16" t="s">
        <v>17</v>
      </c>
      <c r="L4" s="8">
        <v>46054</v>
      </c>
      <c r="M4" s="9">
        <v>1378.9</v>
      </c>
      <c r="O4" s="56" t="s">
        <v>3</v>
      </c>
      <c r="P4" s="56" t="s">
        <v>20</v>
      </c>
      <c r="Q4" s="56" t="s">
        <v>21</v>
      </c>
      <c r="R4" s="56" t="s">
        <v>22</v>
      </c>
      <c r="S4" s="25" t="s">
        <v>23</v>
      </c>
    </row>
    <row r="5" spans="1:19" ht="16.8" thickBot="1" x14ac:dyDescent="0.35">
      <c r="A5" s="8">
        <v>46023</v>
      </c>
      <c r="B5" s="7">
        <v>3068.12</v>
      </c>
      <c r="D5" s="60"/>
      <c r="E5" s="60"/>
      <c r="F5" s="60"/>
      <c r="G5" s="60"/>
      <c r="H5" s="17" t="s">
        <v>18</v>
      </c>
      <c r="L5" s="8">
        <v>46023</v>
      </c>
      <c r="M5" s="9">
        <v>1355</v>
      </c>
      <c r="O5" s="57"/>
      <c r="P5" s="57"/>
      <c r="Q5" s="57"/>
      <c r="R5" s="57"/>
      <c r="S5" s="27" t="s">
        <v>24</v>
      </c>
    </row>
    <row r="6" spans="1:19" ht="16.2" customHeight="1" thickBot="1" x14ac:dyDescent="0.35">
      <c r="A6" s="8">
        <v>45992</v>
      </c>
      <c r="B6" s="9">
        <v>3148.96</v>
      </c>
      <c r="D6" s="18" t="s">
        <v>4</v>
      </c>
      <c r="E6" s="10">
        <v>2668.57</v>
      </c>
      <c r="F6" s="10">
        <v>3323.18</v>
      </c>
      <c r="G6" s="11">
        <v>654.61</v>
      </c>
      <c r="H6" s="11">
        <v>24.53</v>
      </c>
      <c r="L6" s="8">
        <v>45992</v>
      </c>
      <c r="M6" s="9">
        <v>1342.9</v>
      </c>
      <c r="O6" s="28" t="s">
        <v>4</v>
      </c>
      <c r="P6" s="29">
        <v>580.79999999999995</v>
      </c>
      <c r="Q6" s="29">
        <v>708.41</v>
      </c>
      <c r="R6" s="29">
        <v>127.61</v>
      </c>
      <c r="S6" s="29">
        <v>21.97</v>
      </c>
    </row>
    <row r="7" spans="1:19" ht="19.2" customHeight="1" thickBot="1" x14ac:dyDescent="0.35">
      <c r="A7" s="8">
        <v>45962</v>
      </c>
      <c r="B7" s="9">
        <v>3081.48</v>
      </c>
      <c r="D7" s="18" t="s">
        <v>5</v>
      </c>
      <c r="E7" s="10">
        <v>3151.46</v>
      </c>
      <c r="F7" s="10">
        <v>2948.37</v>
      </c>
      <c r="G7" s="11">
        <v>-203.09</v>
      </c>
      <c r="H7" s="11">
        <v>-6.44</v>
      </c>
      <c r="L7" s="8">
        <v>45962</v>
      </c>
      <c r="M7" s="9">
        <v>1388.8</v>
      </c>
      <c r="O7" s="28" t="s">
        <v>5</v>
      </c>
      <c r="P7" s="29">
        <v>721.02</v>
      </c>
      <c r="Q7" s="29">
        <v>856.06</v>
      </c>
      <c r="R7" s="29">
        <v>135.04</v>
      </c>
      <c r="S7" s="29">
        <v>18.73</v>
      </c>
    </row>
    <row r="8" spans="1:19" ht="15.6" customHeight="1" thickBot="1" x14ac:dyDescent="0.35">
      <c r="A8" s="8">
        <v>45931</v>
      </c>
      <c r="B8" s="9">
        <v>2992.24</v>
      </c>
      <c r="D8" s="18" t="s">
        <v>6</v>
      </c>
      <c r="E8" s="10">
        <v>2960.65</v>
      </c>
      <c r="F8" s="10">
        <v>3635.24</v>
      </c>
      <c r="G8" s="11">
        <v>674.59</v>
      </c>
      <c r="H8" s="11">
        <v>22.79</v>
      </c>
      <c r="L8" s="8">
        <v>45931</v>
      </c>
      <c r="M8" s="9">
        <v>1345.3</v>
      </c>
      <c r="O8" s="28" t="s">
        <v>6</v>
      </c>
      <c r="P8" s="29">
        <v>895.48</v>
      </c>
      <c r="Q8" s="30">
        <v>1075.67</v>
      </c>
      <c r="R8" s="29">
        <v>180.19</v>
      </c>
      <c r="S8" s="29">
        <v>20.12</v>
      </c>
    </row>
    <row r="9" spans="1:19" ht="18.600000000000001" customHeight="1" thickBot="1" x14ac:dyDescent="0.35">
      <c r="A9" s="8">
        <v>45901</v>
      </c>
      <c r="B9" s="9">
        <v>2826.29</v>
      </c>
      <c r="D9" s="18" t="s">
        <v>7</v>
      </c>
      <c r="E9" s="10">
        <v>3583.05</v>
      </c>
      <c r="F9" s="10">
        <v>3485.69</v>
      </c>
      <c r="G9" s="11">
        <v>-97.36</v>
      </c>
      <c r="H9" s="11">
        <v>-2.72</v>
      </c>
      <c r="L9" s="8">
        <v>45901</v>
      </c>
      <c r="M9" s="9">
        <v>1348</v>
      </c>
      <c r="O9" s="28" t="s">
        <v>7</v>
      </c>
      <c r="P9" s="30">
        <v>1131.8499999999999</v>
      </c>
      <c r="Q9" s="30">
        <v>1338.03</v>
      </c>
      <c r="R9" s="29">
        <v>206.18</v>
      </c>
      <c r="S9" s="29">
        <v>18.22</v>
      </c>
    </row>
    <row r="10" spans="1:19" ht="19.8" customHeight="1" thickBot="1" x14ac:dyDescent="0.35">
      <c r="A10" s="8">
        <v>45870</v>
      </c>
      <c r="B10" s="9">
        <v>3018.37</v>
      </c>
      <c r="D10" s="18" t="s">
        <v>8</v>
      </c>
      <c r="E10" s="10">
        <v>3338.33</v>
      </c>
      <c r="F10" s="10">
        <v>2358.9</v>
      </c>
      <c r="G10" s="11">
        <v>-979.43</v>
      </c>
      <c r="H10" s="11">
        <v>-29.34</v>
      </c>
      <c r="L10" s="8">
        <v>45870</v>
      </c>
      <c r="M10" s="9">
        <v>1387.1</v>
      </c>
      <c r="O10" s="28" t="s">
        <v>8</v>
      </c>
      <c r="P10" s="30">
        <v>1416.07</v>
      </c>
      <c r="Q10" s="30">
        <v>1205.9000000000001</v>
      </c>
      <c r="R10" s="29">
        <v>-210.17</v>
      </c>
      <c r="S10" s="29">
        <v>-14.84</v>
      </c>
    </row>
    <row r="11" spans="1:19" ht="19.2" customHeight="1" thickBot="1" x14ac:dyDescent="0.35">
      <c r="A11" s="8">
        <v>45839</v>
      </c>
      <c r="B11" s="9">
        <v>2961.45</v>
      </c>
      <c r="D11" s="19" t="s">
        <v>9</v>
      </c>
      <c r="E11" s="11"/>
      <c r="F11" s="11"/>
      <c r="G11" s="11"/>
      <c r="H11" s="12">
        <v>8.82</v>
      </c>
      <c r="L11" s="8">
        <v>45839</v>
      </c>
      <c r="M11" s="9">
        <v>1470.06</v>
      </c>
      <c r="O11" s="26" t="s">
        <v>9</v>
      </c>
      <c r="P11" s="29"/>
      <c r="Q11" s="29"/>
      <c r="R11" s="29"/>
      <c r="S11" s="31">
        <v>64.2</v>
      </c>
    </row>
    <row r="12" spans="1:19" x14ac:dyDescent="0.3">
      <c r="A12" s="8">
        <v>45809</v>
      </c>
      <c r="B12" s="9">
        <v>3346.35</v>
      </c>
      <c r="L12" s="8">
        <v>45809</v>
      </c>
      <c r="M12" s="9">
        <v>1434.73</v>
      </c>
    </row>
    <row r="13" spans="1:19" ht="14.4" customHeight="1" x14ac:dyDescent="0.3">
      <c r="A13" s="8">
        <v>45778</v>
      </c>
      <c r="B13" s="9">
        <v>3347.71</v>
      </c>
      <c r="D13" s="20" t="s">
        <v>11</v>
      </c>
      <c r="E13" t="s">
        <v>14</v>
      </c>
      <c r="F13" s="13">
        <v>2668.57</v>
      </c>
      <c r="L13" s="8">
        <v>45778</v>
      </c>
      <c r="M13" s="9">
        <v>1434.73</v>
      </c>
    </row>
    <row r="14" spans="1:19" ht="14.4" customHeight="1" x14ac:dyDescent="0.3">
      <c r="A14" s="8">
        <v>45748</v>
      </c>
      <c r="B14" s="9">
        <v>3338.33</v>
      </c>
      <c r="D14" s="20" t="s">
        <v>12</v>
      </c>
      <c r="E14" t="s">
        <v>13</v>
      </c>
      <c r="F14" s="13">
        <v>3323.18</v>
      </c>
      <c r="L14" s="8">
        <v>45748</v>
      </c>
      <c r="M14" s="9">
        <v>1416.07</v>
      </c>
      <c r="O14" s="20" t="s">
        <v>11</v>
      </c>
      <c r="P14" t="s">
        <v>14</v>
      </c>
      <c r="Q14" s="32">
        <v>580.79999999999995</v>
      </c>
    </row>
    <row r="15" spans="1:19" ht="15" customHeight="1" x14ac:dyDescent="0.3">
      <c r="A15" s="8">
        <v>45717</v>
      </c>
      <c r="B15" s="9">
        <v>3485.69</v>
      </c>
      <c r="L15" s="8">
        <v>45717</v>
      </c>
      <c r="M15" s="9">
        <v>1338.03</v>
      </c>
      <c r="O15" s="20" t="s">
        <v>12</v>
      </c>
      <c r="P15" t="s">
        <v>13</v>
      </c>
      <c r="Q15" s="32">
        <v>708.41</v>
      </c>
    </row>
    <row r="16" spans="1:19" x14ac:dyDescent="0.3">
      <c r="A16" s="8">
        <v>45689</v>
      </c>
      <c r="B16" s="9">
        <v>3366.89</v>
      </c>
      <c r="L16" s="8">
        <v>45689</v>
      </c>
      <c r="M16" s="9">
        <v>1194.8800000000001</v>
      </c>
    </row>
    <row r="17" spans="1:13" x14ac:dyDescent="0.3">
      <c r="A17" s="8">
        <v>45658</v>
      </c>
      <c r="B17" s="9">
        <v>3903.21</v>
      </c>
      <c r="L17" s="8">
        <v>45658</v>
      </c>
      <c r="M17" s="9">
        <v>1243.21</v>
      </c>
    </row>
    <row r="18" spans="1:13" x14ac:dyDescent="0.3">
      <c r="A18" s="8">
        <v>45627</v>
      </c>
      <c r="B18" s="9">
        <v>3886.5</v>
      </c>
      <c r="L18" s="8">
        <v>45627</v>
      </c>
      <c r="M18" s="9">
        <v>1271.8399999999999</v>
      </c>
    </row>
    <row r="19" spans="1:13" x14ac:dyDescent="0.3">
      <c r="A19" s="8">
        <v>45597</v>
      </c>
      <c r="B19" s="9">
        <v>4053.59</v>
      </c>
      <c r="L19" s="8">
        <v>45597</v>
      </c>
      <c r="M19" s="9">
        <v>1290.1500000000001</v>
      </c>
    </row>
    <row r="20" spans="1:13" x14ac:dyDescent="0.3">
      <c r="A20" s="8">
        <v>45566</v>
      </c>
      <c r="B20" s="9">
        <v>3757.41</v>
      </c>
      <c r="L20" s="8">
        <v>45566</v>
      </c>
      <c r="M20" s="9">
        <v>1282.3599999999999</v>
      </c>
    </row>
    <row r="21" spans="1:13" x14ac:dyDescent="0.3">
      <c r="A21" s="8">
        <v>45536</v>
      </c>
      <c r="B21" s="9">
        <v>4041.5</v>
      </c>
      <c r="L21" s="8">
        <v>45536</v>
      </c>
      <c r="M21" s="9">
        <v>1263.25</v>
      </c>
    </row>
    <row r="22" spans="1:13" x14ac:dyDescent="0.3">
      <c r="A22" s="8">
        <v>45505</v>
      </c>
      <c r="B22" s="9">
        <v>4311.59</v>
      </c>
      <c r="L22" s="8">
        <v>45505</v>
      </c>
      <c r="M22" s="9">
        <v>1209.3800000000001</v>
      </c>
    </row>
    <row r="23" spans="1:13" x14ac:dyDescent="0.3">
      <c r="A23" s="8">
        <v>45474</v>
      </c>
      <c r="B23" s="9">
        <v>4142.5200000000004</v>
      </c>
      <c r="L23" s="8">
        <v>45474</v>
      </c>
      <c r="M23" s="9">
        <v>1195.31</v>
      </c>
    </row>
    <row r="24" spans="1:13" x14ac:dyDescent="0.3">
      <c r="A24" s="8">
        <v>45444</v>
      </c>
      <c r="B24" s="9">
        <v>3687.96</v>
      </c>
      <c r="L24" s="8">
        <v>45444</v>
      </c>
      <c r="M24" s="9">
        <v>1180.25</v>
      </c>
    </row>
    <row r="25" spans="1:13" x14ac:dyDescent="0.3">
      <c r="A25" s="8">
        <v>45413</v>
      </c>
      <c r="B25" s="9">
        <v>3442.66</v>
      </c>
      <c r="L25" s="8">
        <v>45413</v>
      </c>
      <c r="M25" s="9">
        <v>1102.97</v>
      </c>
    </row>
    <row r="26" spans="1:13" x14ac:dyDescent="0.3">
      <c r="A26" s="8">
        <v>45383</v>
      </c>
      <c r="B26" s="9">
        <v>3583.05</v>
      </c>
      <c r="L26" s="8">
        <v>45383</v>
      </c>
      <c r="M26" s="9">
        <v>1131.8499999999999</v>
      </c>
    </row>
    <row r="27" spans="1:13" x14ac:dyDescent="0.3">
      <c r="A27" s="8">
        <v>45352</v>
      </c>
      <c r="B27" s="9">
        <v>3635.24</v>
      </c>
      <c r="L27" s="8">
        <v>45352</v>
      </c>
      <c r="M27" s="9">
        <v>1075.67</v>
      </c>
    </row>
    <row r="28" spans="1:13" x14ac:dyDescent="0.3">
      <c r="A28" s="8">
        <v>45323</v>
      </c>
      <c r="B28" s="9">
        <v>3840.43</v>
      </c>
      <c r="L28" s="8">
        <v>45323</v>
      </c>
      <c r="M28" s="9">
        <v>1035.23</v>
      </c>
    </row>
    <row r="29" spans="1:13" x14ac:dyDescent="0.3">
      <c r="A29" s="8">
        <v>45292</v>
      </c>
      <c r="B29" s="9">
        <v>3553.88</v>
      </c>
      <c r="L29" s="8">
        <v>45292</v>
      </c>
      <c r="M29" s="9">
        <v>1011.57</v>
      </c>
    </row>
    <row r="30" spans="1:13" x14ac:dyDescent="0.3">
      <c r="A30" s="8">
        <v>45261</v>
      </c>
      <c r="B30" s="9">
        <v>3532.88</v>
      </c>
      <c r="L30" s="8">
        <v>45261</v>
      </c>
      <c r="M30" s="22">
        <v>980.53</v>
      </c>
    </row>
    <row r="31" spans="1:13" x14ac:dyDescent="0.3">
      <c r="A31" s="8">
        <v>45231</v>
      </c>
      <c r="B31" s="9">
        <v>3248.08</v>
      </c>
      <c r="L31" s="8">
        <v>45231</v>
      </c>
      <c r="M31" s="22">
        <v>919.87</v>
      </c>
    </row>
    <row r="32" spans="1:13" x14ac:dyDescent="0.3">
      <c r="A32" s="8">
        <v>45200</v>
      </c>
      <c r="B32" s="9">
        <v>3129.3</v>
      </c>
      <c r="L32" s="8">
        <v>45200</v>
      </c>
      <c r="M32" s="22">
        <v>900.59</v>
      </c>
    </row>
    <row r="33" spans="1:13" x14ac:dyDescent="0.3">
      <c r="A33" s="8">
        <v>45170</v>
      </c>
      <c r="B33" s="9">
        <v>3277.78</v>
      </c>
      <c r="L33" s="8">
        <v>45170</v>
      </c>
      <c r="M33" s="22">
        <v>936.55</v>
      </c>
    </row>
    <row r="34" spans="1:13" x14ac:dyDescent="0.3">
      <c r="A34" s="8">
        <v>45139</v>
      </c>
      <c r="B34" s="9">
        <v>3118.2</v>
      </c>
      <c r="L34" s="8">
        <v>45139</v>
      </c>
      <c r="M34" s="22">
        <v>935.59</v>
      </c>
    </row>
    <row r="35" spans="1:13" x14ac:dyDescent="0.3">
      <c r="A35" s="8">
        <v>45108</v>
      </c>
      <c r="B35" s="9">
        <v>3170.01</v>
      </c>
      <c r="L35" s="8">
        <v>45108</v>
      </c>
      <c r="M35" s="22">
        <v>974.18</v>
      </c>
    </row>
    <row r="36" spans="1:13" x14ac:dyDescent="0.3">
      <c r="A36" s="8">
        <v>45078</v>
      </c>
      <c r="B36" s="9">
        <v>3036.98</v>
      </c>
      <c r="L36" s="8">
        <v>45078</v>
      </c>
      <c r="M36" s="22">
        <v>912.02</v>
      </c>
    </row>
    <row r="37" spans="1:13" x14ac:dyDescent="0.3">
      <c r="A37" s="8">
        <v>45047</v>
      </c>
      <c r="B37" s="9">
        <v>3025.25</v>
      </c>
      <c r="L37" s="8">
        <v>45047</v>
      </c>
      <c r="M37" s="22">
        <v>926.22</v>
      </c>
    </row>
    <row r="38" spans="1:13" x14ac:dyDescent="0.3">
      <c r="A38" s="8">
        <v>45017</v>
      </c>
      <c r="B38" s="9">
        <v>2960.65</v>
      </c>
      <c r="L38" s="8">
        <v>45017</v>
      </c>
      <c r="M38" s="22">
        <v>895.48</v>
      </c>
    </row>
    <row r="39" spans="1:13" x14ac:dyDescent="0.3">
      <c r="A39" s="8">
        <v>44986</v>
      </c>
      <c r="B39" s="9">
        <v>2948.37</v>
      </c>
      <c r="L39" s="8">
        <v>44986</v>
      </c>
      <c r="M39" s="22">
        <v>856.06</v>
      </c>
    </row>
    <row r="40" spans="1:13" x14ac:dyDescent="0.3">
      <c r="A40" s="8">
        <v>44958</v>
      </c>
      <c r="B40" s="9">
        <v>3046.73</v>
      </c>
      <c r="L40" s="8">
        <v>44958</v>
      </c>
      <c r="M40" s="22">
        <v>834.2</v>
      </c>
    </row>
    <row r="41" spans="1:13" x14ac:dyDescent="0.3">
      <c r="A41" s="8">
        <v>44927</v>
      </c>
      <c r="B41" s="9">
        <v>3020.24</v>
      </c>
      <c r="L41" s="8">
        <v>44927</v>
      </c>
      <c r="M41" s="22">
        <v>811.8</v>
      </c>
    </row>
    <row r="42" spans="1:13" x14ac:dyDescent="0.3">
      <c r="A42" s="8">
        <v>44896</v>
      </c>
      <c r="B42" s="9">
        <v>2928.52</v>
      </c>
      <c r="L42" s="8">
        <v>44896</v>
      </c>
      <c r="M42" s="22">
        <v>869.33</v>
      </c>
    </row>
    <row r="43" spans="1:13" x14ac:dyDescent="0.3">
      <c r="A43" s="8">
        <v>44866</v>
      </c>
      <c r="B43" s="9">
        <v>3049.11</v>
      </c>
      <c r="L43" s="8">
        <v>44866</v>
      </c>
      <c r="M43" s="22">
        <v>929.88</v>
      </c>
    </row>
    <row r="44" spans="1:13" x14ac:dyDescent="0.3">
      <c r="A44" s="8">
        <v>44835</v>
      </c>
      <c r="B44" s="9">
        <v>2863.96</v>
      </c>
      <c r="L44" s="8">
        <v>44835</v>
      </c>
      <c r="M44" s="22">
        <v>886.75</v>
      </c>
    </row>
    <row r="45" spans="1:13" x14ac:dyDescent="0.3">
      <c r="A45" s="8">
        <v>44805</v>
      </c>
      <c r="B45" s="9">
        <v>2694.81</v>
      </c>
      <c r="L45" s="8">
        <v>44805</v>
      </c>
      <c r="M45" s="22">
        <v>841.17</v>
      </c>
    </row>
    <row r="46" spans="1:13" x14ac:dyDescent="0.3">
      <c r="A46" s="8">
        <v>44774</v>
      </c>
      <c r="B46" s="9">
        <v>2880.11</v>
      </c>
      <c r="L46" s="8">
        <v>44774</v>
      </c>
      <c r="M46" s="22">
        <v>860.7</v>
      </c>
    </row>
    <row r="47" spans="1:13" x14ac:dyDescent="0.3">
      <c r="A47" s="8">
        <v>44743</v>
      </c>
      <c r="B47" s="9">
        <v>2953.71</v>
      </c>
      <c r="L47" s="8">
        <v>44743</v>
      </c>
      <c r="M47" s="22">
        <v>794.06</v>
      </c>
    </row>
    <row r="48" spans="1:13" x14ac:dyDescent="0.3">
      <c r="A48" s="8">
        <v>44713</v>
      </c>
      <c r="B48" s="9">
        <v>2922.58</v>
      </c>
      <c r="L48" s="8">
        <v>44713</v>
      </c>
      <c r="M48" s="22">
        <v>686</v>
      </c>
    </row>
    <row r="49" spans="1:13" x14ac:dyDescent="0.3">
      <c r="A49" s="8">
        <v>44682</v>
      </c>
      <c r="B49" s="9">
        <v>2989.43</v>
      </c>
      <c r="L49" s="8">
        <v>44682</v>
      </c>
      <c r="M49" s="22">
        <v>730.28</v>
      </c>
    </row>
    <row r="50" spans="1:13" x14ac:dyDescent="0.3">
      <c r="A50" s="8">
        <v>44652</v>
      </c>
      <c r="B50" s="9">
        <v>3151.46</v>
      </c>
      <c r="L50" s="8">
        <v>44652</v>
      </c>
      <c r="M50" s="22">
        <v>721.02</v>
      </c>
    </row>
    <row r="51" spans="1:13" x14ac:dyDescent="0.3">
      <c r="A51" s="8">
        <v>44621</v>
      </c>
      <c r="B51" s="9">
        <v>3323.18</v>
      </c>
      <c r="L51" s="8">
        <v>44621</v>
      </c>
      <c r="M51" s="22">
        <v>708.41</v>
      </c>
    </row>
    <row r="52" spans="1:13" x14ac:dyDescent="0.3">
      <c r="A52" s="8">
        <v>44593</v>
      </c>
      <c r="B52" s="9">
        <v>3158.13</v>
      </c>
      <c r="L52" s="8">
        <v>44593</v>
      </c>
      <c r="M52" s="22">
        <v>720.43</v>
      </c>
    </row>
    <row r="53" spans="1:13" x14ac:dyDescent="0.3">
      <c r="A53" s="8">
        <v>44562</v>
      </c>
      <c r="B53" s="9">
        <v>3314.07</v>
      </c>
      <c r="L53" s="8">
        <v>44562</v>
      </c>
      <c r="M53" s="22">
        <v>765.15</v>
      </c>
    </row>
    <row r="54" spans="1:13" x14ac:dyDescent="0.3">
      <c r="A54" s="8">
        <v>44531</v>
      </c>
      <c r="B54" s="9">
        <v>3315.93</v>
      </c>
      <c r="L54" s="8">
        <v>44531</v>
      </c>
      <c r="M54" s="22">
        <v>717.96</v>
      </c>
    </row>
    <row r="55" spans="1:13" x14ac:dyDescent="0.3">
      <c r="A55" s="8">
        <v>44501</v>
      </c>
      <c r="B55" s="9">
        <v>3130.37</v>
      </c>
      <c r="L55" s="8">
        <v>44501</v>
      </c>
      <c r="M55" s="22">
        <v>692.93</v>
      </c>
    </row>
    <row r="56" spans="1:13" x14ac:dyDescent="0.3">
      <c r="A56" s="8">
        <v>44470</v>
      </c>
      <c r="B56" s="9">
        <v>3008.04</v>
      </c>
      <c r="L56" s="8">
        <v>44470</v>
      </c>
      <c r="M56" s="22">
        <v>778</v>
      </c>
    </row>
    <row r="57" spans="1:13" x14ac:dyDescent="0.3">
      <c r="A57" s="8">
        <v>44440</v>
      </c>
      <c r="B57" s="9">
        <v>3342.51</v>
      </c>
      <c r="L57" s="8">
        <v>44440</v>
      </c>
      <c r="M57" s="22">
        <v>679.84</v>
      </c>
    </row>
    <row r="58" spans="1:13" x14ac:dyDescent="0.3">
      <c r="A58" s="8">
        <v>44409</v>
      </c>
      <c r="B58" s="9">
        <v>3352.16</v>
      </c>
      <c r="L58" s="8">
        <v>44409</v>
      </c>
      <c r="M58" s="22">
        <v>697.49</v>
      </c>
    </row>
    <row r="59" spans="1:13" x14ac:dyDescent="0.3">
      <c r="A59" s="8">
        <v>44378</v>
      </c>
      <c r="B59" s="9">
        <v>2798.05</v>
      </c>
      <c r="L59" s="8">
        <v>44378</v>
      </c>
      <c r="M59" s="22">
        <v>660.11</v>
      </c>
    </row>
    <row r="60" spans="1:13" x14ac:dyDescent="0.3">
      <c r="A60" s="8">
        <v>44348</v>
      </c>
      <c r="B60" s="9">
        <v>2955.56</v>
      </c>
      <c r="L60" s="8">
        <v>44348</v>
      </c>
      <c r="M60" s="22">
        <v>610.20000000000005</v>
      </c>
    </row>
    <row r="61" spans="1:13" x14ac:dyDescent="0.3">
      <c r="A61" s="8">
        <v>44317</v>
      </c>
      <c r="B61" s="9">
        <v>2777.14</v>
      </c>
      <c r="L61" s="8">
        <v>44317</v>
      </c>
      <c r="M61" s="22">
        <v>641</v>
      </c>
    </row>
    <row r="62" spans="1:13" x14ac:dyDescent="0.3">
      <c r="A62" s="8">
        <v>44287</v>
      </c>
      <c r="B62" s="9">
        <v>2668.57</v>
      </c>
      <c r="L62" s="8">
        <v>44287</v>
      </c>
      <c r="M62" s="22">
        <v>580.79999999999995</v>
      </c>
    </row>
    <row r="63" spans="1:13" ht="15" x14ac:dyDescent="0.3">
      <c r="B63" s="5"/>
    </row>
    <row r="64" spans="1:13" ht="17.399999999999999" x14ac:dyDescent="0.3">
      <c r="A64" s="1" t="s">
        <v>25</v>
      </c>
    </row>
    <row r="65" spans="1:16" ht="17.399999999999999" x14ac:dyDescent="0.3">
      <c r="A65" s="2" t="s">
        <v>1</v>
      </c>
      <c r="B65" s="6" t="s">
        <v>2</v>
      </c>
      <c r="L65" s="1" t="s">
        <v>28</v>
      </c>
    </row>
    <row r="66" spans="1:16" x14ac:dyDescent="0.3">
      <c r="A66" s="8">
        <v>46082</v>
      </c>
      <c r="B66" s="9">
        <v>1343.9</v>
      </c>
    </row>
    <row r="67" spans="1:16" ht="16.2" thickBot="1" x14ac:dyDescent="0.35">
      <c r="A67" s="8">
        <v>46054</v>
      </c>
      <c r="B67" s="9">
        <v>1393.9</v>
      </c>
      <c r="L67" s="2" t="s">
        <v>1</v>
      </c>
      <c r="M67" s="6" t="s">
        <v>2</v>
      </c>
    </row>
    <row r="68" spans="1:16" ht="14.4" customHeight="1" x14ac:dyDescent="0.3">
      <c r="A68" s="8">
        <v>46023</v>
      </c>
      <c r="B68" s="9">
        <v>1395.4</v>
      </c>
      <c r="D68" s="58" t="s">
        <v>3</v>
      </c>
      <c r="E68" s="58" t="s">
        <v>10</v>
      </c>
      <c r="F68" s="58" t="s">
        <v>15</v>
      </c>
      <c r="G68" s="58" t="s">
        <v>26</v>
      </c>
      <c r="H68" s="34" t="s">
        <v>17</v>
      </c>
      <c r="L68" s="3">
        <v>46113</v>
      </c>
      <c r="M68" s="9">
        <v>24050.6</v>
      </c>
    </row>
    <row r="69" spans="1:16" ht="15" customHeight="1" thickBot="1" x14ac:dyDescent="0.35">
      <c r="A69" s="8">
        <v>45992</v>
      </c>
      <c r="B69" s="9">
        <v>1570.4</v>
      </c>
      <c r="D69" s="60"/>
      <c r="E69" s="60"/>
      <c r="F69" s="60"/>
      <c r="G69" s="60"/>
      <c r="H69" s="35" t="s">
        <v>27</v>
      </c>
      <c r="L69" s="3">
        <v>46082</v>
      </c>
      <c r="M69" s="9">
        <v>22331.4</v>
      </c>
    </row>
    <row r="70" spans="1:16" ht="16.2" thickBot="1" x14ac:dyDescent="0.35">
      <c r="A70" s="8">
        <v>45962</v>
      </c>
      <c r="B70" s="9">
        <v>1567.5</v>
      </c>
      <c r="D70" s="36" t="s">
        <v>4</v>
      </c>
      <c r="E70" s="23">
        <v>904.37</v>
      </c>
      <c r="F70" s="37">
        <v>1198.8399999999999</v>
      </c>
      <c r="G70" s="23">
        <v>294.47000000000003</v>
      </c>
      <c r="H70" s="23">
        <v>32.56</v>
      </c>
      <c r="L70" s="3">
        <v>46054</v>
      </c>
      <c r="M70" s="9">
        <v>25178.65</v>
      </c>
    </row>
    <row r="71" spans="1:16" ht="16.2" thickBot="1" x14ac:dyDescent="0.35">
      <c r="A71" s="8">
        <v>45931</v>
      </c>
      <c r="B71" s="9">
        <v>1486.4</v>
      </c>
      <c r="D71" s="36" t="s">
        <v>5</v>
      </c>
      <c r="E71" s="37">
        <v>1269.5999999999999</v>
      </c>
      <c r="F71" s="37">
        <v>1064.1199999999999</v>
      </c>
      <c r="G71" s="23">
        <v>-205.48</v>
      </c>
      <c r="H71" s="23">
        <v>-16.18</v>
      </c>
      <c r="L71" s="3">
        <v>46023</v>
      </c>
      <c r="M71" s="9">
        <v>25320.65</v>
      </c>
      <c r="O71" s="38" t="s">
        <v>3</v>
      </c>
      <c r="P71" s="39" t="s">
        <v>29</v>
      </c>
    </row>
    <row r="72" spans="1:16" ht="16.2" thickBot="1" x14ac:dyDescent="0.35">
      <c r="A72" s="8">
        <v>45901</v>
      </c>
      <c r="B72" s="9">
        <v>1364</v>
      </c>
      <c r="D72" s="36" t="s">
        <v>6</v>
      </c>
      <c r="E72" s="37">
        <v>1104.95</v>
      </c>
      <c r="F72" s="37">
        <v>1474.93</v>
      </c>
      <c r="G72" s="23">
        <v>369.98</v>
      </c>
      <c r="H72" s="23">
        <v>33.479999999999997</v>
      </c>
      <c r="L72" s="3">
        <v>45992</v>
      </c>
      <c r="M72" s="9">
        <v>26129.599999999999</v>
      </c>
      <c r="O72" s="36">
        <v>2021</v>
      </c>
      <c r="P72" s="37">
        <v>15582.8</v>
      </c>
    </row>
    <row r="73" spans="1:16" ht="16.2" thickBot="1" x14ac:dyDescent="0.35">
      <c r="A73" s="8">
        <v>45870</v>
      </c>
      <c r="B73" s="9">
        <v>1351.8</v>
      </c>
      <c r="D73" s="36" t="s">
        <v>7</v>
      </c>
      <c r="E73" s="37">
        <v>1456.22</v>
      </c>
      <c r="F73" s="37">
        <v>1270.03</v>
      </c>
      <c r="G73" s="23">
        <v>-186.19</v>
      </c>
      <c r="H73" s="23">
        <v>-12.79</v>
      </c>
      <c r="L73" s="3">
        <v>45962</v>
      </c>
      <c r="M73" s="9">
        <v>26202.95</v>
      </c>
      <c r="O73" s="36">
        <v>2022</v>
      </c>
      <c r="P73" s="37">
        <v>17102.55</v>
      </c>
    </row>
    <row r="74" spans="1:16" ht="16.2" thickBot="1" x14ac:dyDescent="0.35">
      <c r="A74" s="8">
        <v>45839</v>
      </c>
      <c r="B74" s="9">
        <v>1384.67</v>
      </c>
      <c r="D74" s="36" t="s">
        <v>8</v>
      </c>
      <c r="E74" s="37">
        <v>1399.41</v>
      </c>
      <c r="F74" s="37">
        <v>1343.9</v>
      </c>
      <c r="G74" s="23">
        <v>-55.51</v>
      </c>
      <c r="H74" s="23">
        <v>-3.97</v>
      </c>
      <c r="L74" s="3">
        <v>45931</v>
      </c>
      <c r="M74" s="9">
        <v>25722.1</v>
      </c>
      <c r="O74" s="36">
        <v>2023</v>
      </c>
      <c r="P74" s="37">
        <v>18065</v>
      </c>
    </row>
    <row r="75" spans="1:16" ht="16.2" thickBot="1" x14ac:dyDescent="0.35">
      <c r="A75" s="8">
        <v>45809</v>
      </c>
      <c r="B75" s="9">
        <v>1494.63</v>
      </c>
      <c r="D75" s="15" t="s">
        <v>9</v>
      </c>
      <c r="E75" s="23"/>
      <c r="F75" s="23"/>
      <c r="G75" s="23"/>
      <c r="H75" s="24">
        <v>33.11</v>
      </c>
      <c r="L75" s="3">
        <v>45901</v>
      </c>
      <c r="M75" s="9">
        <v>24611.1</v>
      </c>
      <c r="O75" s="36">
        <v>2024</v>
      </c>
      <c r="P75" s="37">
        <v>22604.85</v>
      </c>
    </row>
    <row r="76" spans="1:16" ht="16.2" thickBot="1" x14ac:dyDescent="0.35">
      <c r="A76" s="8">
        <v>45778</v>
      </c>
      <c r="B76" s="9">
        <v>1415.25</v>
      </c>
      <c r="L76" s="3">
        <v>45870</v>
      </c>
      <c r="M76" s="9">
        <v>24426.85</v>
      </c>
      <c r="O76" s="36">
        <v>2025</v>
      </c>
      <c r="P76" s="37">
        <v>24334.2</v>
      </c>
    </row>
    <row r="77" spans="1:16" ht="16.2" thickBot="1" x14ac:dyDescent="0.35">
      <c r="A77" s="8">
        <v>45748</v>
      </c>
      <c r="B77" s="9">
        <v>1399.41</v>
      </c>
      <c r="D77" s="20" t="s">
        <v>11</v>
      </c>
      <c r="E77" t="s">
        <v>14</v>
      </c>
      <c r="F77">
        <v>904.37</v>
      </c>
      <c r="L77" s="3">
        <v>45839</v>
      </c>
      <c r="M77" s="9">
        <v>24768.35</v>
      </c>
      <c r="O77" s="36">
        <v>2026</v>
      </c>
      <c r="P77" s="37">
        <v>24050.6</v>
      </c>
    </row>
    <row r="78" spans="1:16" ht="15.6" x14ac:dyDescent="0.3">
      <c r="A78" s="8">
        <v>45717</v>
      </c>
      <c r="B78" s="9">
        <v>1270.03</v>
      </c>
      <c r="D78" s="20" t="s">
        <v>12</v>
      </c>
      <c r="E78" t="s">
        <v>13</v>
      </c>
      <c r="F78" s="4">
        <v>1198.8399999999999</v>
      </c>
      <c r="L78" s="3">
        <v>45809</v>
      </c>
      <c r="M78" s="9">
        <v>25517.05</v>
      </c>
    </row>
    <row r="79" spans="1:16" x14ac:dyDescent="0.3">
      <c r="A79" s="8">
        <v>45689</v>
      </c>
      <c r="B79" s="9">
        <v>1195.33</v>
      </c>
      <c r="L79" s="3">
        <v>45778</v>
      </c>
      <c r="M79" s="9">
        <v>24750.7</v>
      </c>
    </row>
    <row r="80" spans="1:16" ht="15.6" x14ac:dyDescent="0.3">
      <c r="A80" s="8">
        <v>45658</v>
      </c>
      <c r="B80" s="9">
        <v>1260.07</v>
      </c>
      <c r="L80" s="3">
        <v>45748</v>
      </c>
      <c r="M80" s="9">
        <v>24334.2</v>
      </c>
      <c r="O80" s="40" t="s">
        <v>30</v>
      </c>
    </row>
    <row r="81" spans="1:16" ht="15.6" x14ac:dyDescent="0.3">
      <c r="A81" s="8">
        <v>45627</v>
      </c>
      <c r="B81" s="9">
        <v>1210.6099999999999</v>
      </c>
      <c r="L81" s="3">
        <v>45717</v>
      </c>
      <c r="M81" s="9">
        <v>23519.35</v>
      </c>
      <c r="O81" s="41" t="s">
        <v>31</v>
      </c>
    </row>
    <row r="82" spans="1:16" x14ac:dyDescent="0.3">
      <c r="A82" s="8">
        <v>45597</v>
      </c>
      <c r="B82" s="9">
        <v>1287.06</v>
      </c>
      <c r="L82" s="3">
        <v>45689</v>
      </c>
      <c r="M82" s="9">
        <v>22124.7</v>
      </c>
    </row>
    <row r="83" spans="1:16" x14ac:dyDescent="0.3">
      <c r="A83" s="8">
        <v>45566</v>
      </c>
      <c r="B83" s="9">
        <v>1326.75</v>
      </c>
      <c r="L83" s="3">
        <v>45658</v>
      </c>
      <c r="M83" s="9">
        <v>23508.400000000001</v>
      </c>
    </row>
    <row r="84" spans="1:16" ht="15.6" x14ac:dyDescent="0.3">
      <c r="A84" s="8">
        <v>45536</v>
      </c>
      <c r="B84" s="9">
        <v>1470.7</v>
      </c>
      <c r="L84" s="3">
        <v>45627</v>
      </c>
      <c r="M84" s="9">
        <v>23644.799999999999</v>
      </c>
      <c r="O84" s="40" t="s">
        <v>32</v>
      </c>
    </row>
    <row r="85" spans="1:16" ht="15.6" x14ac:dyDescent="0.3">
      <c r="A85" s="8">
        <v>45505</v>
      </c>
      <c r="B85" s="9">
        <v>1498.53</v>
      </c>
      <c r="L85" s="3">
        <v>45597</v>
      </c>
      <c r="M85" s="9">
        <v>24131.1</v>
      </c>
      <c r="O85" s="41" t="s">
        <v>33</v>
      </c>
    </row>
    <row r="86" spans="1:16" x14ac:dyDescent="0.3">
      <c r="A86" s="8">
        <v>45474</v>
      </c>
      <c r="B86" s="9">
        <v>1494.36</v>
      </c>
      <c r="L86" s="3">
        <v>45566</v>
      </c>
      <c r="M86" s="9">
        <v>24205.35</v>
      </c>
    </row>
    <row r="87" spans="1:16" x14ac:dyDescent="0.3">
      <c r="A87" s="8">
        <v>45444</v>
      </c>
      <c r="B87" s="9">
        <v>1553.9</v>
      </c>
      <c r="L87" s="3">
        <v>45536</v>
      </c>
      <c r="M87" s="9">
        <v>25810.85</v>
      </c>
    </row>
    <row r="88" spans="1:16" x14ac:dyDescent="0.3">
      <c r="A88" s="8">
        <v>45413</v>
      </c>
      <c r="B88" s="9">
        <v>1419.89</v>
      </c>
      <c r="L88" s="3">
        <v>45505</v>
      </c>
      <c r="M88" s="9">
        <v>25235.9</v>
      </c>
    </row>
    <row r="89" spans="1:16" x14ac:dyDescent="0.3">
      <c r="A89" s="8">
        <v>45383</v>
      </c>
      <c r="B89" s="9">
        <v>1456.22</v>
      </c>
      <c r="L89" s="3">
        <v>45474</v>
      </c>
      <c r="M89" s="9">
        <v>24951.15</v>
      </c>
    </row>
    <row r="90" spans="1:16" x14ac:dyDescent="0.3">
      <c r="A90" s="8">
        <v>45352</v>
      </c>
      <c r="B90" s="9">
        <v>1474.93</v>
      </c>
      <c r="L90" s="3">
        <v>45444</v>
      </c>
      <c r="M90" s="9">
        <v>24010.6</v>
      </c>
    </row>
    <row r="91" spans="1:16" ht="15" thickBot="1" x14ac:dyDescent="0.35">
      <c r="A91" s="8">
        <v>45323</v>
      </c>
      <c r="B91" s="9">
        <v>1450.07</v>
      </c>
      <c r="L91" s="3">
        <v>45413</v>
      </c>
      <c r="M91" s="9">
        <v>22530.7</v>
      </c>
    </row>
    <row r="92" spans="1:16" ht="18.600000000000001" thickBot="1" x14ac:dyDescent="0.35">
      <c r="A92" s="8">
        <v>45292</v>
      </c>
      <c r="B92" s="9">
        <v>1416.14</v>
      </c>
      <c r="L92" s="3">
        <v>45383</v>
      </c>
      <c r="M92" s="9">
        <v>22604.85</v>
      </c>
      <c r="O92" s="42" t="s">
        <v>3</v>
      </c>
      <c r="P92" s="43" t="s">
        <v>39</v>
      </c>
    </row>
    <row r="93" spans="1:16" ht="16.2" thickBot="1" x14ac:dyDescent="0.35">
      <c r="A93" s="8">
        <v>45261</v>
      </c>
      <c r="B93" s="9">
        <v>1282.98</v>
      </c>
      <c r="L93" s="3">
        <v>45352</v>
      </c>
      <c r="M93" s="9">
        <v>22326.9</v>
      </c>
      <c r="O93" s="28" t="s">
        <v>34</v>
      </c>
      <c r="P93" s="29">
        <v>9.75</v>
      </c>
    </row>
    <row r="94" spans="1:16" ht="16.2" thickBot="1" x14ac:dyDescent="0.35">
      <c r="A94" s="8">
        <v>45231</v>
      </c>
      <c r="B94" s="9">
        <v>1179.99</v>
      </c>
      <c r="L94" s="3">
        <v>45323</v>
      </c>
      <c r="M94" s="9">
        <v>21982.799999999999</v>
      </c>
      <c r="O94" s="28" t="s">
        <v>35</v>
      </c>
      <c r="P94" s="29">
        <v>5.63</v>
      </c>
    </row>
    <row r="95" spans="1:16" ht="16.2" thickBot="1" x14ac:dyDescent="0.35">
      <c r="A95" s="8">
        <v>45200</v>
      </c>
      <c r="B95" s="9">
        <v>1135.55</v>
      </c>
      <c r="L95" s="3">
        <v>45292</v>
      </c>
      <c r="M95" s="9">
        <v>21725.7</v>
      </c>
      <c r="O95" s="28" t="s">
        <v>36</v>
      </c>
      <c r="P95" s="29">
        <v>25.14</v>
      </c>
    </row>
    <row r="96" spans="1:16" ht="16.2" thickBot="1" x14ac:dyDescent="0.35">
      <c r="A96" s="8">
        <v>45170</v>
      </c>
      <c r="B96" s="9">
        <v>1163.8900000000001</v>
      </c>
      <c r="L96" s="3">
        <v>45261</v>
      </c>
      <c r="M96" s="9">
        <v>21731.4</v>
      </c>
      <c r="O96" s="28" t="s">
        <v>37</v>
      </c>
      <c r="P96" s="29">
        <v>7.65</v>
      </c>
    </row>
    <row r="97" spans="1:16" ht="16.2" thickBot="1" x14ac:dyDescent="0.35">
      <c r="A97" s="8">
        <v>45139</v>
      </c>
      <c r="B97" s="9">
        <v>1190.45</v>
      </c>
      <c r="L97" s="3">
        <v>45231</v>
      </c>
      <c r="M97" s="9">
        <v>20133.150000000001</v>
      </c>
      <c r="O97" s="28" t="s">
        <v>38</v>
      </c>
      <c r="P97" s="29">
        <v>-1.17</v>
      </c>
    </row>
    <row r="98" spans="1:16" x14ac:dyDescent="0.3">
      <c r="A98" s="8">
        <v>45108</v>
      </c>
      <c r="B98" s="9">
        <v>1260.81</v>
      </c>
      <c r="L98" s="3">
        <v>45200</v>
      </c>
      <c r="M98" s="9">
        <v>19079.599999999999</v>
      </c>
    </row>
    <row r="99" spans="1:16" x14ac:dyDescent="0.3">
      <c r="A99" s="8">
        <v>45078</v>
      </c>
      <c r="B99" s="9">
        <v>1164.18</v>
      </c>
      <c r="L99" s="3">
        <v>45170</v>
      </c>
      <c r="M99" s="9">
        <v>19638.3</v>
      </c>
    </row>
    <row r="100" spans="1:16" x14ac:dyDescent="0.3">
      <c r="A100" s="8">
        <v>45047</v>
      </c>
      <c r="B100" s="9">
        <v>1127.5</v>
      </c>
      <c r="L100" s="3">
        <v>45139</v>
      </c>
      <c r="M100" s="9">
        <v>19253.8</v>
      </c>
    </row>
    <row r="101" spans="1:16" x14ac:dyDescent="0.3">
      <c r="A101" s="8">
        <v>45017</v>
      </c>
      <c r="B101" s="9">
        <v>1104.95</v>
      </c>
      <c r="L101" s="3">
        <v>45108</v>
      </c>
      <c r="M101" s="9">
        <v>19753.8</v>
      </c>
    </row>
    <row r="102" spans="1:16" x14ac:dyDescent="0.3">
      <c r="A102" s="8">
        <v>44986</v>
      </c>
      <c r="B102" s="9">
        <v>1064.1199999999999</v>
      </c>
      <c r="L102" s="3">
        <v>45078</v>
      </c>
      <c r="M102" s="9">
        <v>19189.05</v>
      </c>
    </row>
    <row r="103" spans="1:16" x14ac:dyDescent="0.3">
      <c r="A103" s="8">
        <v>44958</v>
      </c>
      <c r="B103" s="9">
        <v>1060.24</v>
      </c>
      <c r="L103" s="3">
        <v>45047</v>
      </c>
      <c r="M103" s="9">
        <v>18534.400000000001</v>
      </c>
    </row>
    <row r="104" spans="1:16" x14ac:dyDescent="0.3">
      <c r="A104" s="8">
        <v>44927</v>
      </c>
      <c r="B104" s="9">
        <v>1074.52</v>
      </c>
      <c r="L104" s="3">
        <v>45017</v>
      </c>
      <c r="M104" s="9">
        <v>18065</v>
      </c>
    </row>
    <row r="105" spans="1:16" x14ac:dyDescent="0.3">
      <c r="A105" s="8">
        <v>44896</v>
      </c>
      <c r="B105" s="9">
        <v>1162.79</v>
      </c>
      <c r="L105" s="3">
        <v>44986</v>
      </c>
      <c r="M105" s="9">
        <v>17359.75</v>
      </c>
    </row>
    <row r="106" spans="1:16" x14ac:dyDescent="0.3">
      <c r="A106" s="8">
        <v>44866</v>
      </c>
      <c r="B106" s="9">
        <v>1246.8499999999999</v>
      </c>
      <c r="L106" s="3">
        <v>44958</v>
      </c>
      <c r="M106" s="9">
        <v>17303.95</v>
      </c>
    </row>
    <row r="107" spans="1:16" x14ac:dyDescent="0.3">
      <c r="A107" s="8">
        <v>44835</v>
      </c>
      <c r="B107" s="9">
        <v>1163.8800000000001</v>
      </c>
      <c r="L107" s="3">
        <v>44927</v>
      </c>
      <c r="M107" s="9">
        <v>17662.150000000001</v>
      </c>
    </row>
    <row r="108" spans="1:16" x14ac:dyDescent="0.3">
      <c r="A108" s="8">
        <v>44805</v>
      </c>
      <c r="B108" s="9">
        <v>1085.43</v>
      </c>
      <c r="L108" s="3">
        <v>44896</v>
      </c>
      <c r="M108" s="9">
        <v>18105.3</v>
      </c>
    </row>
    <row r="109" spans="1:16" x14ac:dyDescent="0.3">
      <c r="A109" s="8">
        <v>44774</v>
      </c>
      <c r="B109" s="9">
        <v>1200.3</v>
      </c>
      <c r="L109" s="3">
        <v>44866</v>
      </c>
      <c r="M109" s="9">
        <v>18758.349999999999</v>
      </c>
    </row>
    <row r="110" spans="1:16" x14ac:dyDescent="0.3">
      <c r="A110" s="8">
        <v>44743</v>
      </c>
      <c r="B110" s="9">
        <v>1141.83</v>
      </c>
      <c r="L110" s="3">
        <v>44835</v>
      </c>
      <c r="M110" s="9">
        <v>18012.2</v>
      </c>
    </row>
    <row r="111" spans="1:16" x14ac:dyDescent="0.3">
      <c r="A111" s="8">
        <v>44713</v>
      </c>
      <c r="B111" s="9">
        <v>1181.05</v>
      </c>
      <c r="L111" s="3">
        <v>44805</v>
      </c>
      <c r="M111" s="9">
        <v>17094.349999999999</v>
      </c>
    </row>
    <row r="112" spans="1:16" x14ac:dyDescent="0.3">
      <c r="A112" s="8">
        <v>44682</v>
      </c>
      <c r="B112" s="9">
        <v>1197.8900000000001</v>
      </c>
      <c r="L112" s="3">
        <v>44774</v>
      </c>
      <c r="M112" s="9">
        <v>17759.3</v>
      </c>
    </row>
    <row r="113" spans="1:13" x14ac:dyDescent="0.3">
      <c r="A113" s="8">
        <v>44652</v>
      </c>
      <c r="B113" s="9">
        <v>1269.5999999999999</v>
      </c>
      <c r="L113" s="3">
        <v>44743</v>
      </c>
      <c r="M113" s="9">
        <v>17158.25</v>
      </c>
    </row>
    <row r="114" spans="1:13" x14ac:dyDescent="0.3">
      <c r="A114" s="8">
        <v>44621</v>
      </c>
      <c r="B114" s="9">
        <v>1198.8399999999999</v>
      </c>
      <c r="L114" s="3">
        <v>44713</v>
      </c>
      <c r="M114" s="9">
        <v>15780.25</v>
      </c>
    </row>
    <row r="115" spans="1:13" x14ac:dyDescent="0.3">
      <c r="A115" s="8">
        <v>44593</v>
      </c>
      <c r="B115" s="9">
        <v>1073.6199999999999</v>
      </c>
      <c r="L115" s="3">
        <v>44682</v>
      </c>
      <c r="M115" s="9">
        <v>16584.55</v>
      </c>
    </row>
    <row r="116" spans="1:13" x14ac:dyDescent="0.3">
      <c r="A116" s="8">
        <v>44562</v>
      </c>
      <c r="B116" s="9">
        <v>1085.93</v>
      </c>
      <c r="L116" s="3">
        <v>44652</v>
      </c>
      <c r="M116" s="9">
        <v>17102.55</v>
      </c>
    </row>
    <row r="117" spans="1:13" x14ac:dyDescent="0.3">
      <c r="A117" s="8">
        <v>44531</v>
      </c>
      <c r="B117" s="9">
        <v>1077.54</v>
      </c>
      <c r="L117" s="3">
        <v>44621</v>
      </c>
      <c r="M117" s="9">
        <v>17464.75</v>
      </c>
    </row>
    <row r="118" spans="1:13" x14ac:dyDescent="0.3">
      <c r="A118" s="8">
        <v>44501</v>
      </c>
      <c r="B118" s="9">
        <v>1094.49</v>
      </c>
      <c r="L118" s="3">
        <v>44593</v>
      </c>
      <c r="M118" s="9">
        <v>16793.900000000001</v>
      </c>
    </row>
    <row r="119" spans="1:13" x14ac:dyDescent="0.3">
      <c r="A119" s="8">
        <v>44470</v>
      </c>
      <c r="B119" s="9">
        <v>1154.02</v>
      </c>
      <c r="L119" s="3">
        <v>44562</v>
      </c>
      <c r="M119" s="9">
        <v>17339.849999999999</v>
      </c>
    </row>
    <row r="120" spans="1:13" x14ac:dyDescent="0.3">
      <c r="A120" s="8">
        <v>44440</v>
      </c>
      <c r="B120" s="9">
        <v>1146.29</v>
      </c>
      <c r="L120" s="3">
        <v>44531</v>
      </c>
      <c r="M120" s="9">
        <v>17354.05</v>
      </c>
    </row>
    <row r="121" spans="1:13" x14ac:dyDescent="0.3">
      <c r="A121" s="8">
        <v>44409</v>
      </c>
      <c r="B121" s="9">
        <v>1027.49</v>
      </c>
      <c r="L121" s="3">
        <v>44501</v>
      </c>
      <c r="M121" s="9">
        <v>16983.2</v>
      </c>
    </row>
    <row r="122" spans="1:13" x14ac:dyDescent="0.3">
      <c r="A122" s="8">
        <v>44378</v>
      </c>
      <c r="B122" s="22">
        <v>926.09</v>
      </c>
      <c r="L122" s="3">
        <v>44470</v>
      </c>
      <c r="M122" s="9">
        <v>17671.650000000001</v>
      </c>
    </row>
    <row r="123" spans="1:13" x14ac:dyDescent="0.3">
      <c r="A123" s="8">
        <v>44348</v>
      </c>
      <c r="B123" s="22">
        <v>957.03</v>
      </c>
      <c r="L123" s="3">
        <v>44440</v>
      </c>
      <c r="M123" s="9">
        <v>17618.150000000001</v>
      </c>
    </row>
    <row r="124" spans="1:13" x14ac:dyDescent="0.3">
      <c r="A124" s="8">
        <v>44317</v>
      </c>
      <c r="B124" s="22">
        <v>979.55</v>
      </c>
      <c r="L124" s="3">
        <v>44409</v>
      </c>
      <c r="M124" s="9">
        <v>17132.2</v>
      </c>
    </row>
    <row r="125" spans="1:13" x14ac:dyDescent="0.3">
      <c r="A125" s="8">
        <v>44287</v>
      </c>
      <c r="B125" s="33">
        <v>904.37</v>
      </c>
      <c r="L125" s="3">
        <v>44378</v>
      </c>
      <c r="M125" s="9">
        <v>15763.05</v>
      </c>
    </row>
    <row r="126" spans="1:13" ht="15" x14ac:dyDescent="0.3">
      <c r="B126" s="21"/>
      <c r="L126" s="3">
        <v>44348</v>
      </c>
      <c r="M126" s="9">
        <v>15721.5</v>
      </c>
    </row>
    <row r="127" spans="1:13" x14ac:dyDescent="0.3">
      <c r="L127" s="3">
        <v>44317</v>
      </c>
      <c r="M127" s="9">
        <v>15621.5</v>
      </c>
    </row>
    <row r="128" spans="1:13" x14ac:dyDescent="0.3">
      <c r="L128" s="3">
        <v>44287</v>
      </c>
      <c r="M128" s="9">
        <v>15582.8</v>
      </c>
    </row>
    <row r="129" spans="1:7" ht="17.399999999999999" x14ac:dyDescent="0.3">
      <c r="A129" s="1"/>
    </row>
    <row r="131" spans="1:7" ht="15.6" x14ac:dyDescent="0.3">
      <c r="A131" s="2"/>
      <c r="B131" s="6"/>
    </row>
    <row r="132" spans="1:7" x14ac:dyDescent="0.3">
      <c r="A132" s="8"/>
      <c r="B132" s="9"/>
    </row>
    <row r="133" spans="1:7" ht="18" thickBot="1" x14ac:dyDescent="0.35">
      <c r="A133" s="8"/>
      <c r="B133" s="9"/>
      <c r="D133" s="1" t="s">
        <v>51</v>
      </c>
    </row>
    <row r="134" spans="1:7" ht="22.8" customHeight="1" thickBot="1" x14ac:dyDescent="0.35">
      <c r="A134" s="8"/>
      <c r="B134" s="9"/>
      <c r="D134" s="51" t="s">
        <v>40</v>
      </c>
      <c r="E134" s="52" t="s">
        <v>41</v>
      </c>
      <c r="F134" s="52" t="s">
        <v>42</v>
      </c>
      <c r="G134" s="52" t="s">
        <v>43</v>
      </c>
    </row>
    <row r="135" spans="1:7" ht="16.2" thickBot="1" x14ac:dyDescent="0.35">
      <c r="A135" s="8"/>
      <c r="B135" s="9"/>
      <c r="D135" s="45" t="s">
        <v>44</v>
      </c>
      <c r="E135" s="46">
        <v>48553</v>
      </c>
      <c r="F135" s="46">
        <v>47227</v>
      </c>
      <c r="G135" s="48">
        <v>79020</v>
      </c>
    </row>
    <row r="136" spans="1:7" ht="31.8" thickBot="1" x14ac:dyDescent="0.35">
      <c r="A136" s="8"/>
      <c r="B136" s="9"/>
      <c r="D136" s="45" t="s">
        <v>45</v>
      </c>
      <c r="E136" s="47">
        <v>385</v>
      </c>
      <c r="F136" s="47">
        <v>638</v>
      </c>
      <c r="G136" s="49">
        <v>2469</v>
      </c>
    </row>
    <row r="137" spans="1:7" ht="16.2" thickBot="1" x14ac:dyDescent="0.35">
      <c r="A137" s="8"/>
      <c r="B137" s="9"/>
      <c r="D137" s="45" t="s">
        <v>46</v>
      </c>
      <c r="E137" s="46">
        <v>100316</v>
      </c>
      <c r="F137" s="46">
        <v>281113</v>
      </c>
      <c r="G137" s="50">
        <v>864648</v>
      </c>
    </row>
    <row r="138" spans="1:7" ht="16.2" thickBot="1" x14ac:dyDescent="0.35">
      <c r="A138" s="8"/>
      <c r="B138" s="9"/>
      <c r="D138" s="45" t="s">
        <v>47</v>
      </c>
      <c r="E138" s="46">
        <v>2225</v>
      </c>
      <c r="F138" s="46">
        <v>1255</v>
      </c>
      <c r="G138" s="50">
        <v>721</v>
      </c>
    </row>
    <row r="139" spans="1:7" ht="16.2" thickBot="1" x14ac:dyDescent="0.35">
      <c r="A139" s="8"/>
      <c r="B139" s="9"/>
      <c r="D139" s="45" t="s">
        <v>48</v>
      </c>
      <c r="E139" s="46">
        <v>152578</v>
      </c>
      <c r="F139" s="46">
        <v>1861500</v>
      </c>
      <c r="G139" s="50">
        <v>258998</v>
      </c>
    </row>
    <row r="140" spans="1:7" ht="16.2" thickBot="1" x14ac:dyDescent="0.35">
      <c r="A140" s="8"/>
      <c r="B140" s="9"/>
      <c r="D140" s="45" t="s">
        <v>49</v>
      </c>
      <c r="E140" s="46">
        <v>68386</v>
      </c>
      <c r="F140" s="46">
        <v>1772857</v>
      </c>
      <c r="G140" s="50">
        <v>235453</v>
      </c>
    </row>
    <row r="141" spans="1:7" ht="16.2" thickBot="1" x14ac:dyDescent="0.35">
      <c r="A141" s="8"/>
      <c r="B141" s="9"/>
      <c r="D141" s="45" t="s">
        <v>50</v>
      </c>
      <c r="E141" s="46">
        <v>9912</v>
      </c>
      <c r="F141" s="46">
        <v>165856</v>
      </c>
      <c r="G141" s="50">
        <v>319000</v>
      </c>
    </row>
    <row r="142" spans="1:7" x14ac:dyDescent="0.3">
      <c r="A142" s="8"/>
      <c r="B142" s="9"/>
    </row>
    <row r="143" spans="1:7" x14ac:dyDescent="0.3">
      <c r="A143" s="8"/>
      <c r="B143" s="9"/>
    </row>
    <row r="144" spans="1:7" x14ac:dyDescent="0.3">
      <c r="A144" s="8"/>
      <c r="B144" s="9"/>
    </row>
    <row r="145" spans="1:16" ht="15" thickBot="1" x14ac:dyDescent="0.35">
      <c r="A145" s="8"/>
      <c r="B145" s="9"/>
    </row>
    <row r="146" spans="1:16" ht="16.2" thickBot="1" x14ac:dyDescent="0.35">
      <c r="A146" s="8"/>
      <c r="B146" s="9"/>
      <c r="D146" s="51" t="s">
        <v>40</v>
      </c>
      <c r="E146" s="52" t="s">
        <v>41</v>
      </c>
      <c r="H146" s="51" t="s">
        <v>40</v>
      </c>
      <c r="I146" s="52" t="s">
        <v>42</v>
      </c>
      <c r="O146" s="51" t="s">
        <v>40</v>
      </c>
      <c r="P146" s="52" t="s">
        <v>43</v>
      </c>
    </row>
    <row r="147" spans="1:16" ht="16.2" thickBot="1" x14ac:dyDescent="0.35">
      <c r="A147" s="8"/>
      <c r="B147" s="9"/>
      <c r="D147" s="45" t="s">
        <v>44</v>
      </c>
      <c r="E147" s="46">
        <v>48553</v>
      </c>
      <c r="H147" s="45" t="s">
        <v>44</v>
      </c>
      <c r="I147" s="46">
        <v>47227</v>
      </c>
      <c r="O147" s="45" t="s">
        <v>44</v>
      </c>
      <c r="P147" s="48">
        <v>79020</v>
      </c>
    </row>
    <row r="148" spans="1:16" ht="31.8" thickBot="1" x14ac:dyDescent="0.35">
      <c r="A148" s="8"/>
      <c r="B148" s="9"/>
      <c r="D148" s="45" t="s">
        <v>45</v>
      </c>
      <c r="E148" s="47">
        <v>385</v>
      </c>
      <c r="H148" s="45" t="s">
        <v>45</v>
      </c>
      <c r="I148" s="47">
        <v>638</v>
      </c>
      <c r="O148" s="45" t="s">
        <v>45</v>
      </c>
      <c r="P148" s="49">
        <v>2469</v>
      </c>
    </row>
    <row r="149" spans="1:16" ht="31.8" thickBot="1" x14ac:dyDescent="0.35">
      <c r="A149" s="8"/>
      <c r="B149" s="9"/>
      <c r="D149" s="45" t="s">
        <v>46</v>
      </c>
      <c r="E149" s="46">
        <v>100316</v>
      </c>
      <c r="H149" s="45" t="s">
        <v>46</v>
      </c>
      <c r="I149" s="46">
        <v>281113</v>
      </c>
      <c r="O149" s="45" t="s">
        <v>46</v>
      </c>
      <c r="P149" s="50">
        <v>864648</v>
      </c>
    </row>
    <row r="150" spans="1:16" ht="31.8" thickBot="1" x14ac:dyDescent="0.35">
      <c r="A150" s="8"/>
      <c r="B150" s="9"/>
      <c r="D150" s="45" t="s">
        <v>47</v>
      </c>
      <c r="E150" s="46">
        <v>2225</v>
      </c>
      <c r="H150" s="45" t="s">
        <v>47</v>
      </c>
      <c r="I150" s="46">
        <v>1255</v>
      </c>
      <c r="O150" s="45" t="s">
        <v>47</v>
      </c>
      <c r="P150" s="50">
        <v>721</v>
      </c>
    </row>
    <row r="151" spans="1:16" ht="16.2" thickBot="1" x14ac:dyDescent="0.35">
      <c r="A151" s="8"/>
      <c r="B151" s="9"/>
      <c r="D151" s="45" t="s">
        <v>48</v>
      </c>
      <c r="E151" s="46">
        <v>152578</v>
      </c>
      <c r="H151" s="45" t="s">
        <v>48</v>
      </c>
      <c r="I151" s="46">
        <v>1861500</v>
      </c>
      <c r="O151" s="45" t="s">
        <v>48</v>
      </c>
      <c r="P151" s="50">
        <v>258998</v>
      </c>
    </row>
    <row r="152" spans="1:16" ht="16.2" thickBot="1" x14ac:dyDescent="0.35">
      <c r="A152" s="8"/>
      <c r="B152" s="9"/>
      <c r="D152" s="45" t="s">
        <v>49</v>
      </c>
      <c r="E152" s="46">
        <v>68386</v>
      </c>
      <c r="H152" s="45" t="s">
        <v>49</v>
      </c>
      <c r="I152" s="46">
        <v>1772857</v>
      </c>
      <c r="O152" s="45" t="s">
        <v>49</v>
      </c>
      <c r="P152" s="50">
        <v>235453</v>
      </c>
    </row>
    <row r="153" spans="1:16" ht="16.2" thickBot="1" x14ac:dyDescent="0.35">
      <c r="A153" s="8"/>
      <c r="B153" s="9"/>
      <c r="D153" s="45" t="s">
        <v>50</v>
      </c>
      <c r="E153" s="46">
        <v>9912</v>
      </c>
      <c r="H153" s="45" t="s">
        <v>50</v>
      </c>
      <c r="I153" s="46">
        <v>165856</v>
      </c>
      <c r="O153" s="45" t="s">
        <v>50</v>
      </c>
      <c r="P153" s="50">
        <v>319000</v>
      </c>
    </row>
    <row r="154" spans="1:16" x14ac:dyDescent="0.3">
      <c r="A154" s="8"/>
      <c r="B154" s="9"/>
    </row>
    <row r="155" spans="1:16" x14ac:dyDescent="0.3">
      <c r="A155" s="8"/>
      <c r="B155" s="9"/>
    </row>
    <row r="156" spans="1:16" x14ac:dyDescent="0.3">
      <c r="A156" s="8"/>
      <c r="B156" s="9"/>
    </row>
    <row r="157" spans="1:16" ht="15.6" x14ac:dyDescent="0.3">
      <c r="A157" s="8"/>
      <c r="B157" s="53" t="s">
        <v>52</v>
      </c>
    </row>
    <row r="158" spans="1:16" ht="15.6" x14ac:dyDescent="0.3">
      <c r="A158" s="8"/>
      <c r="B158" s="41" t="s">
        <v>53</v>
      </c>
      <c r="F158">
        <f xml:space="preserve"> 126.11</f>
        <v>126.11</v>
      </c>
      <c r="H158">
        <v>74</v>
      </c>
      <c r="O158">
        <v>32</v>
      </c>
    </row>
    <row r="159" spans="1:16" ht="15.6" x14ac:dyDescent="0.3">
      <c r="A159" s="8"/>
      <c r="B159" s="41" t="s">
        <v>54</v>
      </c>
    </row>
    <row r="160" spans="1:16" x14ac:dyDescent="0.3">
      <c r="A160" s="8"/>
      <c r="B160" s="9"/>
    </row>
    <row r="161" spans="1:15" x14ac:dyDescent="0.3">
      <c r="A161" s="8"/>
      <c r="B161" s="9"/>
    </row>
    <row r="162" spans="1:15" ht="15.6" x14ac:dyDescent="0.3">
      <c r="A162" s="8"/>
      <c r="B162" s="53" t="s">
        <v>55</v>
      </c>
    </row>
    <row r="163" spans="1:15" ht="15.6" x14ac:dyDescent="0.3">
      <c r="A163" s="8"/>
      <c r="B163" s="41" t="s">
        <v>56</v>
      </c>
      <c r="F163">
        <v>48.4</v>
      </c>
      <c r="H163">
        <v>16.8</v>
      </c>
      <c r="O163">
        <v>9.14</v>
      </c>
    </row>
    <row r="164" spans="1:15" ht="15.6" x14ac:dyDescent="0.3">
      <c r="A164" s="8"/>
      <c r="B164" s="41" t="s">
        <v>57</v>
      </c>
    </row>
    <row r="165" spans="1:15" x14ac:dyDescent="0.3">
      <c r="A165" s="8"/>
      <c r="B165" s="9"/>
    </row>
    <row r="166" spans="1:15" x14ac:dyDescent="0.3">
      <c r="A166" s="8"/>
      <c r="B166" s="9"/>
    </row>
    <row r="167" spans="1:15" ht="15.6" x14ac:dyDescent="0.3">
      <c r="A167" s="8"/>
      <c r="B167" s="53" t="s">
        <v>58</v>
      </c>
    </row>
    <row r="168" spans="1:15" ht="15.6" x14ac:dyDescent="0.3">
      <c r="A168" s="8"/>
      <c r="B168" s="41" t="s">
        <v>59</v>
      </c>
    </row>
    <row r="169" spans="1:15" ht="15.6" x14ac:dyDescent="0.3">
      <c r="A169" s="8"/>
      <c r="B169" s="41" t="s">
        <v>60</v>
      </c>
      <c r="F169">
        <v>17.66</v>
      </c>
      <c r="H169">
        <v>16.96</v>
      </c>
      <c r="O169">
        <v>22.52</v>
      </c>
    </row>
    <row r="170" spans="1:15" ht="15.6" x14ac:dyDescent="0.3">
      <c r="A170" s="8"/>
      <c r="B170" s="41" t="s">
        <v>61</v>
      </c>
    </row>
    <row r="171" spans="1:15" x14ac:dyDescent="0.3">
      <c r="A171" s="8"/>
      <c r="B171" s="9"/>
    </row>
    <row r="172" spans="1:15" ht="15.6" x14ac:dyDescent="0.3">
      <c r="A172" s="8"/>
      <c r="B172" s="53" t="s">
        <v>62</v>
      </c>
    </row>
    <row r="173" spans="1:15" ht="15.6" x14ac:dyDescent="0.3">
      <c r="A173" s="8"/>
      <c r="B173" s="41" t="s">
        <v>63</v>
      </c>
      <c r="F173">
        <v>0.1</v>
      </c>
      <c r="H173">
        <v>0.59</v>
      </c>
      <c r="O173">
        <v>0.37</v>
      </c>
    </row>
    <row r="174" spans="1:15" ht="15.6" x14ac:dyDescent="0.3">
      <c r="A174" s="8"/>
      <c r="B174" s="54" t="s">
        <v>64</v>
      </c>
    </row>
    <row r="175" spans="1:15" x14ac:dyDescent="0.3">
      <c r="A175" s="8"/>
      <c r="B175" s="9"/>
    </row>
    <row r="176" spans="1:15" x14ac:dyDescent="0.3">
      <c r="A176" s="8"/>
      <c r="B176" s="9"/>
    </row>
    <row r="177" spans="1:15" ht="15.6" x14ac:dyDescent="0.3">
      <c r="A177" s="8"/>
      <c r="B177" s="53" t="s">
        <v>65</v>
      </c>
    </row>
    <row r="178" spans="1:15" ht="15.6" x14ac:dyDescent="0.3">
      <c r="A178" s="8"/>
      <c r="B178" s="55" t="s">
        <v>66</v>
      </c>
      <c r="F178">
        <v>2.23</v>
      </c>
      <c r="H178">
        <v>1.05</v>
      </c>
      <c r="O178">
        <v>1.1000000000000001</v>
      </c>
    </row>
    <row r="179" spans="1:15" ht="15.6" x14ac:dyDescent="0.3">
      <c r="A179" s="8"/>
      <c r="B179" s="54" t="s">
        <v>67</v>
      </c>
    </row>
    <row r="180" spans="1:15" x14ac:dyDescent="0.3">
      <c r="A180" s="8"/>
      <c r="B180" s="22"/>
    </row>
    <row r="181" spans="1:15" x14ac:dyDescent="0.3">
      <c r="A181" s="8"/>
      <c r="B181" s="22"/>
    </row>
    <row r="182" spans="1:15" x14ac:dyDescent="0.3">
      <c r="A182" s="8"/>
      <c r="B182" s="22"/>
    </row>
    <row r="183" spans="1:15" ht="15.6" x14ac:dyDescent="0.3">
      <c r="A183" s="8"/>
      <c r="B183" s="53" t="s">
        <v>68</v>
      </c>
    </row>
    <row r="184" spans="1:15" ht="15.6" x14ac:dyDescent="0.3">
      <c r="B184" s="41" t="s">
        <v>69</v>
      </c>
      <c r="F184">
        <v>19.100000000000001</v>
      </c>
      <c r="H184">
        <v>23.55</v>
      </c>
      <c r="O184">
        <v>8.6999999999999993</v>
      </c>
    </row>
    <row r="185" spans="1:15" ht="15.6" x14ac:dyDescent="0.3">
      <c r="B185" s="54" t="s">
        <v>70</v>
      </c>
    </row>
    <row r="187" spans="1:15" ht="17.399999999999999" x14ac:dyDescent="0.3">
      <c r="A187" s="1"/>
    </row>
    <row r="189" spans="1:15" ht="15.6" x14ac:dyDescent="0.3">
      <c r="A189" s="2"/>
      <c r="B189" s="6"/>
    </row>
    <row r="190" spans="1:15" x14ac:dyDescent="0.3">
      <c r="A190" s="3"/>
      <c r="B190" s="9"/>
    </row>
    <row r="191" spans="1:15" x14ac:dyDescent="0.3">
      <c r="A191" s="3"/>
      <c r="B191" s="9"/>
    </row>
    <row r="192" spans="1:15" x14ac:dyDescent="0.3">
      <c r="A192" s="3"/>
      <c r="B192" s="9"/>
    </row>
    <row r="193" spans="1:11" x14ac:dyDescent="0.3">
      <c r="A193" s="3"/>
      <c r="B193" s="9"/>
    </row>
    <row r="194" spans="1:11" x14ac:dyDescent="0.3">
      <c r="A194" s="3"/>
      <c r="B194" s="9"/>
    </row>
    <row r="195" spans="1:11" x14ac:dyDescent="0.3">
      <c r="A195" s="3"/>
      <c r="B195" s="9"/>
    </row>
    <row r="196" spans="1:11" x14ac:dyDescent="0.3">
      <c r="A196" s="3"/>
      <c r="B196" s="9"/>
    </row>
    <row r="197" spans="1:11" x14ac:dyDescent="0.3">
      <c r="A197" s="3"/>
      <c r="B197" s="9"/>
    </row>
    <row r="198" spans="1:11" x14ac:dyDescent="0.3">
      <c r="A198" s="3"/>
      <c r="B198" s="9"/>
    </row>
    <row r="199" spans="1:11" x14ac:dyDescent="0.3">
      <c r="A199" s="3"/>
      <c r="B199" s="9"/>
    </row>
    <row r="200" spans="1:11" x14ac:dyDescent="0.3">
      <c r="A200" s="3"/>
      <c r="B200" s="9"/>
    </row>
    <row r="201" spans="1:11" x14ac:dyDescent="0.3">
      <c r="A201" s="3"/>
      <c r="B201" s="9"/>
    </row>
    <row r="202" spans="1:11" ht="15.6" x14ac:dyDescent="0.3">
      <c r="A202" s="3"/>
      <c r="B202" s="9"/>
      <c r="D202" s="40"/>
    </row>
    <row r="203" spans="1:11" ht="15.6" x14ac:dyDescent="0.3">
      <c r="A203" s="3"/>
      <c r="B203" s="9"/>
      <c r="D203" s="41"/>
    </row>
    <row r="204" spans="1:11" ht="15.6" x14ac:dyDescent="0.3">
      <c r="A204" s="3"/>
      <c r="B204" s="9"/>
      <c r="K204" s="44"/>
    </row>
    <row r="205" spans="1:11" ht="15.6" x14ac:dyDescent="0.3">
      <c r="A205" s="3"/>
      <c r="B205" s="9"/>
      <c r="K205" s="44"/>
    </row>
    <row r="206" spans="1:11" ht="15.6" x14ac:dyDescent="0.3">
      <c r="A206" s="3"/>
      <c r="B206" s="9"/>
      <c r="D206" s="40"/>
      <c r="K206" s="44"/>
    </row>
    <row r="207" spans="1:11" ht="15.6" x14ac:dyDescent="0.3">
      <c r="A207" s="3"/>
      <c r="B207" s="9"/>
      <c r="D207" s="41"/>
      <c r="K207" s="44"/>
    </row>
    <row r="208" spans="1:11" ht="15.6" x14ac:dyDescent="0.3">
      <c r="A208" s="3"/>
      <c r="B208" s="9"/>
      <c r="K208" s="44"/>
    </row>
    <row r="209" spans="1:2" x14ac:dyDescent="0.3">
      <c r="A209" s="3"/>
      <c r="B209" s="9"/>
    </row>
    <row r="210" spans="1:2" x14ac:dyDescent="0.3">
      <c r="A210" s="3"/>
      <c r="B210" s="9"/>
    </row>
    <row r="211" spans="1:2" x14ac:dyDescent="0.3">
      <c r="A211" s="3"/>
      <c r="B211" s="9"/>
    </row>
    <row r="212" spans="1:2" x14ac:dyDescent="0.3">
      <c r="A212" s="3"/>
      <c r="B212" s="9"/>
    </row>
    <row r="213" spans="1:2" x14ac:dyDescent="0.3">
      <c r="A213" s="3"/>
      <c r="B213" s="9"/>
    </row>
    <row r="214" spans="1:2" x14ac:dyDescent="0.3">
      <c r="A214" s="3"/>
      <c r="B214" s="9"/>
    </row>
    <row r="215" spans="1:2" x14ac:dyDescent="0.3">
      <c r="A215" s="3"/>
      <c r="B215" s="9"/>
    </row>
    <row r="216" spans="1:2" x14ac:dyDescent="0.3">
      <c r="A216" s="3"/>
      <c r="B216" s="9"/>
    </row>
    <row r="217" spans="1:2" x14ac:dyDescent="0.3">
      <c r="A217" s="3"/>
      <c r="B217" s="9"/>
    </row>
    <row r="218" spans="1:2" x14ac:dyDescent="0.3">
      <c r="A218" s="3"/>
      <c r="B218" s="9"/>
    </row>
    <row r="219" spans="1:2" x14ac:dyDescent="0.3">
      <c r="A219" s="3"/>
      <c r="B219" s="9"/>
    </row>
    <row r="220" spans="1:2" x14ac:dyDescent="0.3">
      <c r="A220" s="3"/>
      <c r="B220" s="9"/>
    </row>
    <row r="221" spans="1:2" x14ac:dyDescent="0.3">
      <c r="A221" s="3"/>
      <c r="B221" s="9"/>
    </row>
    <row r="222" spans="1:2" x14ac:dyDescent="0.3">
      <c r="A222" s="3"/>
      <c r="B222" s="9"/>
    </row>
    <row r="223" spans="1:2" x14ac:dyDescent="0.3">
      <c r="A223" s="3"/>
      <c r="B223" s="9"/>
    </row>
    <row r="224" spans="1:2" x14ac:dyDescent="0.3">
      <c r="A224" s="3"/>
      <c r="B224" s="9"/>
    </row>
    <row r="225" spans="1:2" x14ac:dyDescent="0.3">
      <c r="A225" s="3"/>
      <c r="B225" s="9"/>
    </row>
    <row r="226" spans="1:2" x14ac:dyDescent="0.3">
      <c r="A226" s="3"/>
      <c r="B226" s="9"/>
    </row>
    <row r="227" spans="1:2" x14ac:dyDescent="0.3">
      <c r="A227" s="3"/>
      <c r="B227" s="9"/>
    </row>
    <row r="228" spans="1:2" x14ac:dyDescent="0.3">
      <c r="A228" s="3"/>
      <c r="B228" s="9"/>
    </row>
    <row r="229" spans="1:2" x14ac:dyDescent="0.3">
      <c r="A229" s="3"/>
      <c r="B229" s="9"/>
    </row>
    <row r="230" spans="1:2" x14ac:dyDescent="0.3">
      <c r="A230" s="3"/>
      <c r="B230" s="9"/>
    </row>
    <row r="231" spans="1:2" x14ac:dyDescent="0.3">
      <c r="A231" s="3"/>
      <c r="B231" s="9"/>
    </row>
    <row r="232" spans="1:2" x14ac:dyDescent="0.3">
      <c r="A232" s="3"/>
      <c r="B232" s="9"/>
    </row>
    <row r="233" spans="1:2" x14ac:dyDescent="0.3">
      <c r="A233" s="3"/>
      <c r="B233" s="9"/>
    </row>
    <row r="234" spans="1:2" x14ac:dyDescent="0.3">
      <c r="A234" s="3"/>
      <c r="B234" s="9"/>
    </row>
    <row r="235" spans="1:2" x14ac:dyDescent="0.3">
      <c r="A235" s="3"/>
      <c r="B235" s="9"/>
    </row>
    <row r="236" spans="1:2" x14ac:dyDescent="0.3">
      <c r="A236" s="3"/>
      <c r="B236" s="9"/>
    </row>
    <row r="237" spans="1:2" x14ac:dyDescent="0.3">
      <c r="A237" s="3"/>
      <c r="B237" s="9"/>
    </row>
    <row r="238" spans="1:2" x14ac:dyDescent="0.3">
      <c r="A238" s="3"/>
      <c r="B238" s="9"/>
    </row>
    <row r="239" spans="1:2" x14ac:dyDescent="0.3">
      <c r="A239" s="3"/>
      <c r="B239" s="9"/>
    </row>
    <row r="240" spans="1:2" x14ac:dyDescent="0.3">
      <c r="A240" s="3"/>
      <c r="B240" s="9"/>
    </row>
    <row r="241" spans="1:2" x14ac:dyDescent="0.3">
      <c r="A241" s="3"/>
      <c r="B241" s="9"/>
    </row>
    <row r="242" spans="1:2" x14ac:dyDescent="0.3">
      <c r="A242" s="3"/>
      <c r="B242" s="9"/>
    </row>
    <row r="243" spans="1:2" x14ac:dyDescent="0.3">
      <c r="A243" s="3"/>
      <c r="B243" s="9"/>
    </row>
    <row r="244" spans="1:2" x14ac:dyDescent="0.3">
      <c r="A244" s="3"/>
      <c r="B244" s="9"/>
    </row>
    <row r="245" spans="1:2" x14ac:dyDescent="0.3">
      <c r="A245" s="3"/>
      <c r="B245" s="9"/>
    </row>
    <row r="246" spans="1:2" x14ac:dyDescent="0.3">
      <c r="A246" s="3"/>
      <c r="B246" s="9"/>
    </row>
    <row r="247" spans="1:2" x14ac:dyDescent="0.3">
      <c r="A247" s="3"/>
      <c r="B247" s="9"/>
    </row>
    <row r="248" spans="1:2" x14ac:dyDescent="0.3">
      <c r="A248" s="3"/>
      <c r="B248" s="9"/>
    </row>
    <row r="249" spans="1:2" x14ac:dyDescent="0.3">
      <c r="A249" s="3"/>
      <c r="B249" s="9"/>
    </row>
    <row r="250" spans="1:2" x14ac:dyDescent="0.3">
      <c r="A250" s="3"/>
      <c r="B250" s="9"/>
    </row>
  </sheetData>
  <mergeCells count="12">
    <mergeCell ref="D68:D69"/>
    <mergeCell ref="E68:E69"/>
    <mergeCell ref="F68:F69"/>
    <mergeCell ref="G68:G69"/>
    <mergeCell ref="O4:O5"/>
    <mergeCell ref="P4:P5"/>
    <mergeCell ref="Q4:Q5"/>
    <mergeCell ref="R4:R5"/>
    <mergeCell ref="D3:D5"/>
    <mergeCell ref="E3:E5"/>
    <mergeCell ref="F3:F5"/>
    <mergeCell ref="G3:G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2026-06-11T02:48:47Z</dcterms:created>
  <dcterms:modified xsi:type="dcterms:W3CDTF">2026-06-11T16:50:15Z</dcterms:modified>
</cp:coreProperties>
</file>